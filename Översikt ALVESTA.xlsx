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46310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46310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46310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46310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A 47462-2024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45587</v>
      </c>
      <c r="E16" s="1" t="n">
        <v>46310</v>
      </c>
      <c r="F16" t="inlineStr">
        <is>
          <t>KRONOBERGS LÄN</t>
        </is>
      </c>
      <c r="G16" t="inlineStr">
        <is>
          <t>ALVESTA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Gulnål
Kärrviol
Missne</t>
        </is>
      </c>
      <c r="W16">
        <f>HYPERLINK("https://klasma.github.io/Logging_0764/artfynd/A 47462-2024 artfynd.xlsx", "A 47462-2024")</f>
        <v/>
      </c>
      <c r="X16">
        <f>HYPERLINK("https://klasma.github.io/Logging_0764/kartor/A 47462-2024 karta.png", "A 47462-2024")</f>
        <v/>
      </c>
      <c r="Y16">
        <f>HYPERLINK("https://klasma.github.io/Logging_0764/kartor_geotiff/A 47462-2024 georefererad karta.tif", "A 47462-2024")</f>
        <v/>
      </c>
      <c r="AA16">
        <f>HYPERLINK("https://klasma.github.io/Logging_0764/klagomål/A 47462-2024 FSC-klagomål.docx", "A 47462-2024")</f>
        <v/>
      </c>
      <c r="AB16">
        <f>HYPERLINK("https://klasma.github.io/Logging_0764/klagomålsmail/A 47462-2024 FSC-klagomål mail.docx", "A 47462-2024")</f>
        <v/>
      </c>
      <c r="AC16">
        <f>HYPERLINK("https://klasma.github.io/Logging_0764/tillsyn/A 47462-2024 tillsynsbegäran.docx", "A 47462-2024")</f>
        <v/>
      </c>
      <c r="AD16">
        <f>HYPERLINK("https://klasma.github.io/Logging_0764/tillsynsmail/A 47462-2024 tillsynsbegäran mail.docx", "A 47462-2024")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46310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46310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46310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46310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46310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46310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46310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46310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46310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46310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46310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46310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46310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A 1811-2025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45670</v>
      </c>
      <c r="E32" s="1" t="n">
        <v>46310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2.3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Blomkålssvamp
Spillkråka</t>
        </is>
      </c>
      <c r="W32">
        <f>HYPERLINK("https://klasma.github.io/Logging_0764/artfynd/A 1811-2025 artfynd.xlsx", "A 1811-2025")</f>
        <v/>
      </c>
      <c r="X32">
        <f>HYPERLINK("https://klasma.github.io/Logging_0764/kartor/A 1811-2025 karta.png", "A 1811-2025")</f>
        <v/>
      </c>
      <c r="Y32">
        <f>HYPERLINK("https://klasma.github.io/Logging_0764/kartor_geotiff/A 1811-2025 georefererad karta.tif", "A 1811-2025")</f>
        <v/>
      </c>
      <c r="AA32">
        <f>HYPERLINK("https://klasma.github.io/Logging_0764/klagomål/A 1811-2025 FSC-klagomål.docx", "A 1811-2025")</f>
        <v/>
      </c>
      <c r="AB32">
        <f>HYPERLINK("https://klasma.github.io/Logging_0764/klagomålsmail/A 1811-2025 FSC-klagomål mail.docx", "A 1811-2025")</f>
        <v/>
      </c>
      <c r="AC32">
        <f>HYPERLINK("https://klasma.github.io/Logging_0764/tillsyn/A 1811-2025 tillsynsbegäran.docx", "A 1811-2025")</f>
        <v/>
      </c>
      <c r="AD32">
        <f>HYPERLINK("https://klasma.github.io/Logging_0764/tillsynsmail/A 1811-2025 tillsynsbegäran mail.docx", "A 1811-2025")</f>
        <v/>
      </c>
      <c r="AE32">
        <f>HYPERLINK("https://klasma.github.io/Logging_0764/fåglar/A 1811-2025 prioriterade fågelarter.docx", "A 1811-2025")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46310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46310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46310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46310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46310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46310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30604-2023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46310</v>
      </c>
      <c r="F39" t="inlineStr">
        <is>
          <t>KRONOBERGS LÄN</t>
        </is>
      </c>
      <c r="G39" t="inlineStr">
        <is>
          <t>ALVESTA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Orre</t>
        </is>
      </c>
      <c r="W39">
        <f>HYPERLINK("https://klasma.github.io/Logging_0764/artfynd/A 30604-2023 artfynd.xlsx", "A 30604-2023")</f>
        <v/>
      </c>
      <c r="X39">
        <f>HYPERLINK("https://klasma.github.io/Logging_0764/kartor/A 30604-2023 karta.png", "A 30604-2023")</f>
        <v/>
      </c>
      <c r="Y39">
        <f>HYPERLINK("https://klasma.github.io/Logging_0764/kartor_geotiff/A 30604-2023 georefererad karta.tif", "A 30604-2023")</f>
        <v/>
      </c>
      <c r="AA39">
        <f>HYPERLINK("https://klasma.github.io/Logging_0764/klagomål/A 30604-2023 FSC-klagomål.docx", "A 30604-2023")</f>
        <v/>
      </c>
      <c r="AB39">
        <f>HYPERLINK("https://klasma.github.io/Logging_0764/klagomålsmail/A 30604-2023 FSC-klagomål mail.docx", "A 30604-2023")</f>
        <v/>
      </c>
      <c r="AC39">
        <f>HYPERLINK("https://klasma.github.io/Logging_0764/tillsyn/A 30604-2023 tillsynsbegäran.docx", "A 30604-2023")</f>
        <v/>
      </c>
      <c r="AD39">
        <f>HYPERLINK("https://klasma.github.io/Logging_0764/tillsynsmail/A 30604-2023 tillsynsbegäran mail.docx", "A 30604-2023")</f>
        <v/>
      </c>
      <c r="AE39">
        <f>HYPERLINK("https://klasma.github.io/Logging_0764/fåglar/A 30604-2023 prioriterade fågelarter.docx", "A 30604-2023")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46310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Gropticka</t>
        </is>
      </c>
      <c r="W40">
        <f>HYPERLINK("https://klasma.github.io/Logging_0764/artfynd/A 37608-2022 artfynd.xlsx", "A 37608-2022")</f>
        <v/>
      </c>
      <c r="X40">
        <f>HYPERLINK("https://klasma.github.io/Logging_0764/kartor/A 37608-2022 karta.png", "A 37608-2022")</f>
        <v/>
      </c>
      <c r="Y40">
        <f>HYPERLINK("https://klasma.github.io/Logging_0764/kartor_geotiff/A 37608-2022 georefererad karta.tif", "A 37608-2022")</f>
        <v/>
      </c>
      <c r="AA40">
        <f>HYPERLINK("https://klasma.github.io/Logging_0764/klagomål/A 37608-2022 FSC-klagomål.docx", "A 37608-2022")</f>
        <v/>
      </c>
      <c r="AB40">
        <f>HYPERLINK("https://klasma.github.io/Logging_0764/klagomålsmail/A 37608-2022 FSC-klagomål mail.docx", "A 37608-2022")</f>
        <v/>
      </c>
      <c r="AC40">
        <f>HYPERLINK("https://klasma.github.io/Logging_0764/tillsyn/A 37608-2022 tillsynsbegäran.docx", "A 37608-2022")</f>
        <v/>
      </c>
      <c r="AD40">
        <f>HYPERLINK("https://klasma.github.io/Logging_0764/tillsynsmail/A 37608-2022 tillsynsbegäran mail.docx", "A 37608-2022")</f>
        <v/>
      </c>
    </row>
    <row r="41" ht="15" customHeight="1">
      <c r="A41" t="inlineStr">
        <is>
          <t>A 11669-2024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46310</v>
      </c>
      <c r="F41" t="inlineStr">
        <is>
          <t>KRONOBERGS LÄN</t>
        </is>
      </c>
      <c r="G41" t="inlineStr">
        <is>
          <t>ALVESTA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Skuggmossa</t>
        </is>
      </c>
      <c r="W41">
        <f>HYPERLINK("https://klasma.github.io/Logging_0764/artfynd/A 11669-2024 artfynd.xlsx", "A 11669-2024")</f>
        <v/>
      </c>
      <c r="X41">
        <f>HYPERLINK("https://klasma.github.io/Logging_0764/kartor/A 11669-2024 karta.png", "A 11669-2024")</f>
        <v/>
      </c>
      <c r="Y41">
        <f>HYPERLINK("https://klasma.github.io/Logging_0764/kartor_geotiff/A 11669-2024 georefererad karta.tif", "A 11669-2024")</f>
        <v/>
      </c>
      <c r="AA41">
        <f>HYPERLINK("https://klasma.github.io/Logging_0764/klagomål/A 11669-2024 FSC-klagomål.docx", "A 11669-2024")</f>
        <v/>
      </c>
      <c r="AB41">
        <f>HYPERLINK("https://klasma.github.io/Logging_0764/klagomålsmail/A 11669-2024 FSC-klagomål mail.docx", "A 11669-2024")</f>
        <v/>
      </c>
      <c r="AC41">
        <f>HYPERLINK("https://klasma.github.io/Logging_0764/tillsyn/A 11669-2024 tillsynsbegäran.docx", "A 11669-2024")</f>
        <v/>
      </c>
      <c r="AD41">
        <f>HYPERLINK("https://klasma.github.io/Logging_0764/tillsynsmail/A 11669-2024 tillsynsbegäran mail.docx", "A 11669-2024")</f>
        <v/>
      </c>
    </row>
    <row r="42" ht="15" customHeight="1">
      <c r="A42" t="inlineStr">
        <is>
          <t>A 29382-2023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46310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Brandticka</t>
        </is>
      </c>
      <c r="W42">
        <f>HYPERLINK("https://klasma.github.io/Logging_0764/artfynd/A 29382-2023 artfynd.xlsx", "A 29382-2023")</f>
        <v/>
      </c>
      <c r="X42">
        <f>HYPERLINK("https://klasma.github.io/Logging_0764/kartor/A 29382-2023 karta.png", "A 29382-2023")</f>
        <v/>
      </c>
      <c r="Y42">
        <f>HYPERLINK("https://klasma.github.io/Logging_0764/kartor_geotiff/A 29382-2023 georefererad karta.tif", "A 29382-2023")</f>
        <v/>
      </c>
      <c r="AA42">
        <f>HYPERLINK("https://klasma.github.io/Logging_0764/klagomål/A 29382-2023 FSC-klagomål.docx", "A 29382-2023")</f>
        <v/>
      </c>
      <c r="AB42">
        <f>HYPERLINK("https://klasma.github.io/Logging_0764/klagomålsmail/A 29382-2023 FSC-klagomål mail.docx", "A 29382-2023")</f>
        <v/>
      </c>
      <c r="AC42">
        <f>HYPERLINK("https://klasma.github.io/Logging_0764/tillsyn/A 29382-2023 tillsynsbegäran.docx", "A 29382-2023")</f>
        <v/>
      </c>
      <c r="AD42">
        <f>HYPERLINK("https://klasma.github.io/Logging_0764/tillsynsmail/A 29382-2023 tillsynsbegäran mail.docx", "A 29382-2023")</f>
        <v/>
      </c>
    </row>
    <row r="43" ht="15" customHeight="1">
      <c r="A43" t="inlineStr">
        <is>
          <t>A 12221-2024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46310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Brandticka</t>
        </is>
      </c>
      <c r="W43">
        <f>HYPERLINK("https://klasma.github.io/Logging_0764/artfynd/A 12221-2024 artfynd.xlsx", "A 12221-2024")</f>
        <v/>
      </c>
      <c r="X43">
        <f>HYPERLINK("https://klasma.github.io/Logging_0764/kartor/A 12221-2024 karta.png", "A 12221-2024")</f>
        <v/>
      </c>
      <c r="Y43">
        <f>HYPERLINK("https://klasma.github.io/Logging_0764/kartor_geotiff/A 12221-2024 georefererad karta.tif", "A 12221-2024")</f>
        <v/>
      </c>
      <c r="AA43">
        <f>HYPERLINK("https://klasma.github.io/Logging_0764/klagomål/A 12221-2024 FSC-klagomål.docx", "A 12221-2024")</f>
        <v/>
      </c>
      <c r="AB43">
        <f>HYPERLINK("https://klasma.github.io/Logging_0764/klagomålsmail/A 12221-2024 FSC-klagomål mail.docx", "A 12221-2024")</f>
        <v/>
      </c>
      <c r="AC43">
        <f>HYPERLINK("https://klasma.github.io/Logging_0764/tillsyn/A 12221-2024 tillsynsbegäran.docx", "A 12221-2024")</f>
        <v/>
      </c>
      <c r="AD43">
        <f>HYPERLINK("https://klasma.github.io/Logging_0764/tillsynsmail/A 12221-2024 tillsynsbegäran mail.docx", "A 12221-2024")</f>
        <v/>
      </c>
    </row>
    <row r="44" ht="15" customHeight="1">
      <c r="A44" t="inlineStr">
        <is>
          <t>A 60729-2025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45996</v>
      </c>
      <c r="E44" s="1" t="n">
        <v>46310</v>
      </c>
      <c r="F44" t="inlineStr">
        <is>
          <t>KRONOBERGS LÄN</t>
        </is>
      </c>
      <c r="G44" t="inlineStr">
        <is>
          <t>ALVESTA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HYPERLINK("https://klasma.github.io/Logging_0764/artfynd/A 60729-2025 artfynd.xlsx", "A 60729-2025")</f>
        <v/>
      </c>
      <c r="X44">
        <f>HYPERLINK("https://klasma.github.io/Logging_0764/kartor/A 60729-2025 karta.png", "A 60729-2025")</f>
        <v/>
      </c>
      <c r="Y44">
        <f>HYPERLINK("https://klasma.github.io/Logging_0764/kartor_geotiff/A 60729-2025 georefererad karta.tif", "A 60729-2025")</f>
        <v/>
      </c>
      <c r="AA44">
        <f>HYPERLINK("https://klasma.github.io/Logging_0764/klagomål/A 60729-2025 FSC-klagomål.docx", "A 60729-2025")</f>
        <v/>
      </c>
      <c r="AB44">
        <f>HYPERLINK("https://klasma.github.io/Logging_0764/klagomålsmail/A 60729-2025 FSC-klagomål mail.docx", "A 60729-2025")</f>
        <v/>
      </c>
      <c r="AC44">
        <f>HYPERLINK("https://klasma.github.io/Logging_0764/tillsyn/A 60729-2025 tillsynsbegäran.docx", "A 60729-2025")</f>
        <v/>
      </c>
      <c r="AD44">
        <f>HYPERLINK("https://klasma.github.io/Logging_0764/tillsynsmail/A 60729-2025 tillsynsbegäran mail.docx", "A 60729-2025")</f>
        <v/>
      </c>
    </row>
    <row r="45" ht="15" customHeight="1">
      <c r="A45" t="inlineStr">
        <is>
          <t>A 38890-2024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46310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0</v>
      </c>
      <c r="V45" s="2" t="inlineStr">
        <is>
          <t>Hårklomossa</t>
        </is>
      </c>
      <c r="W45">
        <f>HYPERLINK("https://klasma.github.io/Logging_0764/artfynd/A 38890-2024 artfynd.xlsx", "A 38890-2024")</f>
        <v/>
      </c>
      <c r="X45">
        <f>HYPERLINK("https://klasma.github.io/Logging_0764/kartor/A 38890-2024 karta.png", "A 38890-2024")</f>
        <v/>
      </c>
      <c r="Y45">
        <f>HYPERLINK("https://klasma.github.io/Logging_0764/kartor_geotiff/A 38890-2024 georefererad karta.tif", "A 38890-2024")</f>
        <v/>
      </c>
      <c r="AA45">
        <f>HYPERLINK("https://klasma.github.io/Logging_0764/klagomål/A 38890-2024 FSC-klagomål.docx", "A 38890-2024")</f>
        <v/>
      </c>
      <c r="AB45">
        <f>HYPERLINK("https://klasma.github.io/Logging_0764/klagomålsmail/A 38890-2024 FSC-klagomål mail.docx", "A 38890-2024")</f>
        <v/>
      </c>
      <c r="AC45">
        <f>HYPERLINK("https://klasma.github.io/Logging_0764/tillsyn/A 38890-2024 tillsynsbegäran.docx", "A 38890-2024")</f>
        <v/>
      </c>
      <c r="AD45">
        <f>HYPERLINK("https://klasma.github.io/Logging_0764/tillsynsmail/A 38890-2024 tillsynsbegäran mail.docx", "A 38890-2024")</f>
        <v/>
      </c>
    </row>
    <row r="46" ht="15" customHeight="1">
      <c r="A46" t="inlineStr">
        <is>
          <t>A 35279-2022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46310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3.8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2</v>
      </c>
      <c r="V46" s="2" t="inlineStr">
        <is>
          <t>Knärot</t>
        </is>
      </c>
      <c r="W46">
        <f>HYPERLINK("https://klasma.github.io/Logging_0764/artfynd/A 35279-2022 artfynd.xlsx", "A 35279-2022")</f>
        <v/>
      </c>
      <c r="X46">
        <f>HYPERLINK("https://klasma.github.io/Logging_0764/kartor/A 35279-2022 karta.png", "A 35279-2022")</f>
        <v/>
      </c>
      <c r="Y46">
        <f>HYPERLINK("https://klasma.github.io/Logging_0764/kartor_geotiff/A 35279-2022 georefererad karta.tif", "A 35279-2022")</f>
        <v/>
      </c>
      <c r="Z46">
        <f>HYPERLINK("https://klasma.github.io/Logging_0764/knärot/A 35279-2022 karta knärot.png", "A 35279-2022")</f>
        <v/>
      </c>
      <c r="AA46">
        <f>HYPERLINK("https://klasma.github.io/Logging_0764/klagomål/A 35279-2022 FSC-klagomål.docx", "A 35279-2022")</f>
        <v/>
      </c>
      <c r="AB46">
        <f>HYPERLINK("https://klasma.github.io/Logging_0764/klagomålsmail/A 35279-2022 FSC-klagomål mail.docx", "A 35279-2022")</f>
        <v/>
      </c>
      <c r="AC46">
        <f>HYPERLINK("https://klasma.github.io/Logging_0764/tillsyn/A 35279-2022 tillsynsbegäran.docx", "A 35279-2022")</f>
        <v/>
      </c>
      <c r="AD46">
        <f>HYPERLINK("https://klasma.github.io/Logging_0764/tillsynsmail/A 35279-2022 tillsynsbegäran mail.docx", "A 35279-2022")</f>
        <v/>
      </c>
    </row>
    <row r="47" ht="15" customHeight="1">
      <c r="A47" t="inlineStr">
        <is>
          <t>A 22238-2024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46310</v>
      </c>
      <c r="F47" t="inlineStr">
        <is>
          <t>KRONOBERGS LÄN</t>
        </is>
      </c>
      <c r="G47" t="inlineStr">
        <is>
          <t>ALVESTA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1</v>
      </c>
      <c r="V47" s="2" t="inlineStr">
        <is>
          <t>Klockgentiana</t>
        </is>
      </c>
      <c r="W47">
        <f>HYPERLINK("https://klasma.github.io/Logging_0764/artfynd/A 22238-2024 artfynd.xlsx", "A 22238-2024")</f>
        <v/>
      </c>
      <c r="X47">
        <f>HYPERLINK("https://klasma.github.io/Logging_0764/kartor/A 22238-2024 karta.png", "A 22238-2024")</f>
        <v/>
      </c>
      <c r="Y47">
        <f>HYPERLINK("https://klasma.github.io/Logging_0764/kartor_geotiff/A 22238-2024 georefererad karta.tif", "A 22238-2024")</f>
        <v/>
      </c>
      <c r="AA47">
        <f>HYPERLINK("https://klasma.github.io/Logging_0764/klagomål/A 22238-2024 FSC-klagomål.docx", "A 22238-2024")</f>
        <v/>
      </c>
      <c r="AB47">
        <f>HYPERLINK("https://klasma.github.io/Logging_0764/klagomålsmail/A 22238-2024 FSC-klagomål mail.docx", "A 22238-2024")</f>
        <v/>
      </c>
      <c r="AC47">
        <f>HYPERLINK("https://klasma.github.io/Logging_0764/tillsyn/A 22238-2024 tillsynsbegäran.docx", "A 22238-2024")</f>
        <v/>
      </c>
      <c r="AD47">
        <f>HYPERLINK("https://klasma.github.io/Logging_0764/tillsynsmail/A 22238-2024 tillsynsbegäran mail.docx", "A 22238-2024")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46310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18676-2023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46310</v>
      </c>
      <c r="F49" t="inlineStr">
        <is>
          <t>KRONOBERGS LÄN</t>
        </is>
      </c>
      <c r="G49" t="inlineStr">
        <is>
          <t>ALVESTA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Blomkålssvamp</t>
        </is>
      </c>
      <c r="W49">
        <f>HYPERLINK("https://klasma.github.io/Logging_0764/artfynd/A 18676-2023 artfynd.xlsx", "A 18676-2023")</f>
        <v/>
      </c>
      <c r="X49">
        <f>HYPERLINK("https://klasma.github.io/Logging_0764/kartor/A 18676-2023 karta.png", "A 18676-2023")</f>
        <v/>
      </c>
      <c r="Y49">
        <f>HYPERLINK("https://klasma.github.io/Logging_0764/kartor_geotiff/A 18676-2023 georefererad karta.tif", "A 18676-2023")</f>
        <v/>
      </c>
      <c r="AA49">
        <f>HYPERLINK("https://klasma.github.io/Logging_0764/klagomål/A 18676-2023 FSC-klagomål.docx", "A 18676-2023")</f>
        <v/>
      </c>
      <c r="AB49">
        <f>HYPERLINK("https://klasma.github.io/Logging_0764/klagomålsmail/A 18676-2023 FSC-klagomål mail.docx", "A 18676-2023")</f>
        <v/>
      </c>
      <c r="AC49">
        <f>HYPERLINK("https://klasma.github.io/Logging_0764/tillsyn/A 18676-2023 tillsynsbegäran.docx", "A 18676-2023")</f>
        <v/>
      </c>
      <c r="AD49">
        <f>HYPERLINK("https://klasma.github.io/Logging_0764/tillsynsmail/A 18676-2023 tillsynsbegäran mail.docx", "A 18676-2023")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46310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46310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46310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46310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46310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46310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46310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46310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46310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46310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46310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46310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46310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46310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46310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46310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46310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46310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46310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46310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46310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46310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46310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46310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46310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46310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46310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46310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46310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46310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46310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46310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46310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46310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46310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46310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46310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46310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46310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46310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46310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46310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46310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45105</v>
      </c>
      <c r="E95" s="1" t="n">
        <v>46310</v>
      </c>
      <c r="F95" t="inlineStr">
        <is>
          <t>KRONOBERGS LÄN</t>
        </is>
      </c>
      <c r="G95" t="inlineStr">
        <is>
          <t>ALVESTA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46310</v>
      </c>
      <c r="F96" t="inlineStr">
        <is>
          <t>KRONOBERGS LÄN</t>
        </is>
      </c>
      <c r="G96" t="inlineStr">
        <is>
          <t>ALVESTA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46310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46310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46310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46310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46310</v>
      </c>
      <c r="F101" t="inlineStr">
        <is>
          <t>KRONOBERGS LÄN</t>
        </is>
      </c>
      <c r="G101" t="inlineStr">
        <is>
          <t>ALVESTA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46310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46310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46310</v>
      </c>
      <c r="F104" t="inlineStr">
        <is>
          <t>KRONOBERGS LÄN</t>
        </is>
      </c>
      <c r="G104" t="inlineStr">
        <is>
          <t>ALVESTA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46310</v>
      </c>
      <c r="F105" t="inlineStr">
        <is>
          <t>KRONOBERGS LÄN</t>
        </is>
      </c>
      <c r="G105" t="inlineStr">
        <is>
          <t>ALVESTA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45518</v>
      </c>
      <c r="E106" s="1" t="n">
        <v>46310</v>
      </c>
      <c r="F106" t="inlineStr">
        <is>
          <t>KRONOBERGS LÄN</t>
        </is>
      </c>
      <c r="G106" t="inlineStr">
        <is>
          <t>ALVESTA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44804</v>
      </c>
      <c r="E107" s="1" t="n">
        <v>46310</v>
      </c>
      <c r="F107" t="inlineStr">
        <is>
          <t>KRONOBERGS LÄN</t>
        </is>
      </c>
      <c r="G107" t="inlineStr">
        <is>
          <t>ALVESTA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46310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38875-2022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44816</v>
      </c>
      <c r="E109" s="1" t="n">
        <v>46310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25220-2025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45798</v>
      </c>
      <c r="E110" s="1" t="n">
        <v>46310</v>
      </c>
      <c r="F110" t="inlineStr">
        <is>
          <t>KRONOBERGS LÄN</t>
        </is>
      </c>
      <c r="G110" t="inlineStr">
        <is>
          <t>ALVESTA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44601</v>
      </c>
      <c r="E111" s="1" t="n">
        <v>46310</v>
      </c>
      <c r="F111" t="inlineStr">
        <is>
          <t>KRONOBERGS LÄN</t>
        </is>
      </c>
      <c r="G111" t="inlineStr">
        <is>
          <t>ALVESTA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46310</v>
      </c>
      <c r="F112" t="inlineStr">
        <is>
          <t>KRONOBERGS LÄN</t>
        </is>
      </c>
      <c r="G112" t="inlineStr">
        <is>
          <t>ALVESTA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46310</v>
      </c>
      <c r="F113" t="inlineStr">
        <is>
          <t>KRONOBERGS LÄN</t>
        </is>
      </c>
      <c r="G113" t="inlineStr">
        <is>
          <t>ALVESTA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46310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46310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45782</v>
      </c>
      <c r="E116" s="1" t="n">
        <v>46310</v>
      </c>
      <c r="F116" t="inlineStr">
        <is>
          <t>KRONOBERGS LÄN</t>
        </is>
      </c>
      <c r="G116" t="inlineStr">
        <is>
          <t>ALVESTA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46310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46310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46310</v>
      </c>
      <c r="F119" t="inlineStr">
        <is>
          <t>KRONOBERGS LÄN</t>
        </is>
      </c>
      <c r="G119" t="inlineStr">
        <is>
          <t>ALVESTA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46310</v>
      </c>
      <c r="F120" t="inlineStr">
        <is>
          <t>KRONOBERGS LÄN</t>
        </is>
      </c>
      <c r="G120" t="inlineStr">
        <is>
          <t>ALVESTA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46310</v>
      </c>
      <c r="F121" t="inlineStr">
        <is>
          <t>KRONOBERGS LÄN</t>
        </is>
      </c>
      <c r="G121" t="inlineStr">
        <is>
          <t>ALVESTA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46310</v>
      </c>
      <c r="F122" t="inlineStr">
        <is>
          <t>KRONOBERGS LÄN</t>
        </is>
      </c>
      <c r="G122" t="inlineStr">
        <is>
          <t>ALVESTA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46310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44592</v>
      </c>
      <c r="E124" s="1" t="n">
        <v>46310</v>
      </c>
      <c r="F124" t="inlineStr">
        <is>
          <t>KRONOBERGS LÄN</t>
        </is>
      </c>
      <c r="G124" t="inlineStr">
        <is>
          <t>ALVESTA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46310</v>
      </c>
      <c r="F125" t="inlineStr">
        <is>
          <t>KRONOBERGS LÄN</t>
        </is>
      </c>
      <c r="G125" t="inlineStr">
        <is>
          <t>ALVESTA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46310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50733-2023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45217</v>
      </c>
      <c r="E127" s="1" t="n">
        <v>46310</v>
      </c>
      <c r="F127" t="inlineStr">
        <is>
          <t>KRONOBERGS LÄN</t>
        </is>
      </c>
      <c r="G127" t="inlineStr">
        <is>
          <t>ALVESTA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46310</v>
      </c>
      <c r="F128" t="inlineStr">
        <is>
          <t>KRONOBERGS LÄN</t>
        </is>
      </c>
      <c r="G128" t="inlineStr">
        <is>
          <t>ALVESTA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46310</v>
      </c>
      <c r="F129" t="inlineStr">
        <is>
          <t>KRONOBERGS LÄN</t>
        </is>
      </c>
      <c r="G129" t="inlineStr">
        <is>
          <t>ALVESTA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46310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46310</v>
      </c>
      <c r="F131" t="inlineStr">
        <is>
          <t>KRONOBERGS LÄN</t>
        </is>
      </c>
      <c r="G131" t="inlineStr">
        <is>
          <t>ALVESTA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46310</v>
      </c>
      <c r="F132" t="inlineStr">
        <is>
          <t>KRONOBERGS LÄN</t>
        </is>
      </c>
      <c r="G132" t="inlineStr">
        <is>
          <t>ALVESTA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44783</v>
      </c>
      <c r="E133" s="1" t="n">
        <v>46310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46310</v>
      </c>
      <c r="F134" t="inlineStr">
        <is>
          <t>KRONOBERGS LÄN</t>
        </is>
      </c>
      <c r="G134" t="inlineStr">
        <is>
          <t>ALVESTA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46310</v>
      </c>
      <c r="F135" t="inlineStr">
        <is>
          <t>KRONOBERGS LÄN</t>
        </is>
      </c>
      <c r="G135" t="inlineStr">
        <is>
          <t>ALVESTA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46310</v>
      </c>
      <c r="F136" t="inlineStr">
        <is>
          <t>KRONOBERGS LÄN</t>
        </is>
      </c>
      <c r="G136" t="inlineStr">
        <is>
          <t>ALVESTA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45804</v>
      </c>
      <c r="E137" s="1" t="n">
        <v>46310</v>
      </c>
      <c r="F137" t="inlineStr">
        <is>
          <t>KRONOBERGS LÄN</t>
        </is>
      </c>
      <c r="G137" t="inlineStr">
        <is>
          <t>ALVESTA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45218</v>
      </c>
      <c r="E138" s="1" t="n">
        <v>46310</v>
      </c>
      <c r="F138" t="inlineStr">
        <is>
          <t>KRONOBERGS LÄN</t>
        </is>
      </c>
      <c r="G138" t="inlineStr">
        <is>
          <t>ALVESTA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46310</v>
      </c>
      <c r="F139" t="inlineStr">
        <is>
          <t>KRONOBERGS LÄN</t>
        </is>
      </c>
      <c r="G139" t="inlineStr">
        <is>
          <t>ALVESTA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46310</v>
      </c>
      <c r="F140" t="inlineStr">
        <is>
          <t>KRONOBERGS LÄN</t>
        </is>
      </c>
      <c r="G140" t="inlineStr">
        <is>
          <t>ALVESTA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45336</v>
      </c>
      <c r="E141" s="1" t="n">
        <v>46310</v>
      </c>
      <c r="F141" t="inlineStr">
        <is>
          <t>KRONOBERGS LÄN</t>
        </is>
      </c>
      <c r="G141" t="inlineStr">
        <is>
          <t>ALVESTA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46310</v>
      </c>
      <c r="F142" t="inlineStr">
        <is>
          <t>KRONOBERGS LÄN</t>
        </is>
      </c>
      <c r="G142" t="inlineStr">
        <is>
          <t>ALVESTA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46310</v>
      </c>
      <c r="F143" t="inlineStr">
        <is>
          <t>KRONOBERGS LÄN</t>
        </is>
      </c>
      <c r="G143" t="inlineStr">
        <is>
          <t>ALVESTA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44991</v>
      </c>
      <c r="E144" s="1" t="n">
        <v>46310</v>
      </c>
      <c r="F144" t="inlineStr">
        <is>
          <t>KRONOBERGS LÄN</t>
        </is>
      </c>
      <c r="G144" t="inlineStr">
        <is>
          <t>ALVESTA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44938</v>
      </c>
      <c r="E145" s="1" t="n">
        <v>46310</v>
      </c>
      <c r="F145" t="inlineStr">
        <is>
          <t>KRONOBERGS LÄN</t>
        </is>
      </c>
      <c r="G145" t="inlineStr">
        <is>
          <t>ALVESTA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46310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46310</v>
      </c>
      <c r="F147" t="inlineStr">
        <is>
          <t>KRONOBERGS LÄN</t>
        </is>
      </c>
      <c r="G147" t="inlineStr">
        <is>
          <t>ALVESTA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46310</v>
      </c>
      <c r="F148" t="inlineStr">
        <is>
          <t>KRONOBERGS LÄN</t>
        </is>
      </c>
      <c r="G148" t="inlineStr">
        <is>
          <t>ALVESTA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44569</v>
      </c>
      <c r="E149" s="1" t="n">
        <v>46310</v>
      </c>
      <c r="F149" t="inlineStr">
        <is>
          <t>KRONOBERGS LÄN</t>
        </is>
      </c>
      <c r="G149" t="inlineStr">
        <is>
          <t>ALVESTA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46310</v>
      </c>
      <c r="F150" t="inlineStr">
        <is>
          <t>KRONOBERGS LÄN</t>
        </is>
      </c>
      <c r="G150" t="inlineStr">
        <is>
          <t>ALVESTA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46310</v>
      </c>
      <c r="F151" t="inlineStr">
        <is>
          <t>KRONOBERGS LÄN</t>
        </is>
      </c>
      <c r="G151" t="inlineStr">
        <is>
          <t>ALVESTA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45769</v>
      </c>
      <c r="E152" s="1" t="n">
        <v>46310</v>
      </c>
      <c r="F152" t="inlineStr">
        <is>
          <t>KRONOBERGS LÄN</t>
        </is>
      </c>
      <c r="G152" t="inlineStr">
        <is>
          <t>ALVESTA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46310</v>
      </c>
      <c r="F153" t="inlineStr">
        <is>
          <t>KRONOBERGS LÄN</t>
        </is>
      </c>
      <c r="G153" t="inlineStr">
        <is>
          <t>ALVESTA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46310</v>
      </c>
      <c r="F154" t="inlineStr">
        <is>
          <t>KRONOBERGS LÄN</t>
        </is>
      </c>
      <c r="G154" t="inlineStr">
        <is>
          <t>ALVESTA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46310</v>
      </c>
      <c r="F155" t="inlineStr">
        <is>
          <t>KRONOBERGS LÄN</t>
        </is>
      </c>
      <c r="G155" t="inlineStr">
        <is>
          <t>ALVESTA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46310</v>
      </c>
      <c r="F156" t="inlineStr">
        <is>
          <t>KRONOBERGS LÄN</t>
        </is>
      </c>
      <c r="G156" t="inlineStr">
        <is>
          <t>ALVESTA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46310</v>
      </c>
      <c r="F157" t="inlineStr">
        <is>
          <t>KRONOBERGS LÄN</t>
        </is>
      </c>
      <c r="G157" t="inlineStr">
        <is>
          <t>ALVESTA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46310</v>
      </c>
      <c r="F158" t="inlineStr">
        <is>
          <t>KRONOBERGS LÄN</t>
        </is>
      </c>
      <c r="G158" t="inlineStr">
        <is>
          <t>ALVESTA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46310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46310</v>
      </c>
      <c r="F160" t="inlineStr">
        <is>
          <t>KRONOBERGS LÄN</t>
        </is>
      </c>
      <c r="G160" t="inlineStr">
        <is>
          <t>ALVESTA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46310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45512</v>
      </c>
      <c r="E162" s="1" t="n">
        <v>46310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46310</v>
      </c>
      <c r="F163" t="inlineStr">
        <is>
          <t>KRONOBERGS LÄN</t>
        </is>
      </c>
      <c r="G163" t="inlineStr">
        <is>
          <t>ALVESTA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46310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46310</v>
      </c>
      <c r="F165" t="inlineStr">
        <is>
          <t>KRONOBERGS LÄN</t>
        </is>
      </c>
      <c r="G165" t="inlineStr">
        <is>
          <t>ALVESTA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46310</v>
      </c>
      <c r="F166" t="inlineStr">
        <is>
          <t>KRONOBERGS LÄN</t>
        </is>
      </c>
      <c r="G166" t="inlineStr">
        <is>
          <t>ALVESTA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46310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46310</v>
      </c>
      <c r="F168" t="inlineStr">
        <is>
          <t>KRONOBERGS LÄN</t>
        </is>
      </c>
      <c r="G168" t="inlineStr">
        <is>
          <t>ALVESTA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46310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46310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46310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46310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46310</v>
      </c>
      <c r="F173" t="inlineStr">
        <is>
          <t>KRONOBERGS LÄN</t>
        </is>
      </c>
      <c r="G173" t="inlineStr">
        <is>
          <t>ALVESTA</t>
        </is>
      </c>
      <c r="H173" t="inlineStr">
        <is>
          <t>Övriga Aktiebolag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45847</v>
      </c>
      <c r="E174" s="1" t="n">
        <v>46310</v>
      </c>
      <c r="F174" t="inlineStr">
        <is>
          <t>KRONOBERGS LÄN</t>
        </is>
      </c>
      <c r="G174" t="inlineStr">
        <is>
          <t>ALVESTA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44606</v>
      </c>
      <c r="E175" s="1" t="n">
        <v>46310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44687</v>
      </c>
      <c r="E176" s="1" t="n">
        <v>46310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46310</v>
      </c>
      <c r="F177" t="inlineStr">
        <is>
          <t>KRONOBERGS LÄN</t>
        </is>
      </c>
      <c r="G177" t="inlineStr">
        <is>
          <t>ALVESTA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46310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46310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45904</v>
      </c>
      <c r="E180" s="1" t="n">
        <v>46310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46310</v>
      </c>
      <c r="F181" t="inlineStr">
        <is>
          <t>KRONOBERGS LÄN</t>
        </is>
      </c>
      <c r="G181" t="inlineStr">
        <is>
          <t>ALVESTA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46310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46310</v>
      </c>
      <c r="F183" t="inlineStr">
        <is>
          <t>KRONOBERGS LÄN</t>
        </is>
      </c>
      <c r="G183" t="inlineStr">
        <is>
          <t>ALVESTA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46310</v>
      </c>
      <c r="F184" t="inlineStr">
        <is>
          <t>KRONOBERGS LÄN</t>
        </is>
      </c>
      <c r="G184" t="inlineStr">
        <is>
          <t>ALVESTA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46310</v>
      </c>
      <c r="F185" t="inlineStr">
        <is>
          <t>KRONOBERGS LÄN</t>
        </is>
      </c>
      <c r="G185" t="inlineStr">
        <is>
          <t>ALVESTA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60202-2021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46310</v>
      </c>
      <c r="F186" t="inlineStr">
        <is>
          <t>KRONOBERGS LÄN</t>
        </is>
      </c>
      <c r="G186" t="inlineStr">
        <is>
          <t>ALVESTA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46310</v>
      </c>
      <c r="F187" t="inlineStr">
        <is>
          <t>KRONOBERGS LÄN</t>
        </is>
      </c>
      <c r="G187" t="inlineStr">
        <is>
          <t>ALVESTA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45518</v>
      </c>
      <c r="E188" s="1" t="n">
        <v>46310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46310</v>
      </c>
      <c r="F189" t="inlineStr">
        <is>
          <t>KRONOBERGS LÄN</t>
        </is>
      </c>
      <c r="G189" t="inlineStr">
        <is>
          <t>ALVESTA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46310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44754</v>
      </c>
      <c r="E191" s="1" t="n">
        <v>46310</v>
      </c>
      <c r="F191" t="inlineStr">
        <is>
          <t>KRONOBERGS LÄN</t>
        </is>
      </c>
      <c r="G191" t="inlineStr">
        <is>
          <t>ALVESTA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46310</v>
      </c>
      <c r="F192" t="inlineStr">
        <is>
          <t>KRONOBERGS LÄN</t>
        </is>
      </c>
      <c r="G192" t="inlineStr">
        <is>
          <t>ALVESTA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45868</v>
      </c>
      <c r="E193" s="1" t="n">
        <v>46310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46310</v>
      </c>
      <c r="F194" t="inlineStr">
        <is>
          <t>KRONOBERGS LÄN</t>
        </is>
      </c>
      <c r="G194" t="inlineStr">
        <is>
          <t>ALVESTA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45467</v>
      </c>
      <c r="E195" s="1" t="n">
        <v>46310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46310</v>
      </c>
      <c r="F196" t="inlineStr">
        <is>
          <t>KRONOBERGS LÄN</t>
        </is>
      </c>
      <c r="G196" t="inlineStr">
        <is>
          <t>ALVESTA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46310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46310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46310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44735</v>
      </c>
      <c r="E200" s="1" t="n">
        <v>46310</v>
      </c>
      <c r="F200" t="inlineStr">
        <is>
          <t>KRONOBERGS LÄN</t>
        </is>
      </c>
      <c r="G200" t="inlineStr">
        <is>
          <t>ALVESTA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46310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46310</v>
      </c>
      <c r="F202" t="inlineStr">
        <is>
          <t>KRONOBERGS LÄN</t>
        </is>
      </c>
      <c r="G202" t="inlineStr">
        <is>
          <t>ALVESTA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46310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46310</v>
      </c>
      <c r="F204" t="inlineStr">
        <is>
          <t>KRONOBERGS LÄN</t>
        </is>
      </c>
      <c r="G204" t="inlineStr">
        <is>
          <t>ALVESTA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46310</v>
      </c>
      <c r="F205" t="inlineStr">
        <is>
          <t>KRONOBERGS LÄN</t>
        </is>
      </c>
      <c r="G205" t="inlineStr">
        <is>
          <t>ALVESTA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46310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46310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46310</v>
      </c>
      <c r="F208" t="inlineStr">
        <is>
          <t>KRONOBERGS LÄN</t>
        </is>
      </c>
      <c r="G208" t="inlineStr">
        <is>
          <t>ALVESTA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46310</v>
      </c>
      <c r="F209" t="inlineStr">
        <is>
          <t>KRONOBERGS LÄN</t>
        </is>
      </c>
      <c r="G209" t="inlineStr">
        <is>
          <t>ALVESTA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60487-2023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45259</v>
      </c>
      <c r="E210" s="1" t="n">
        <v>46310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46310</v>
      </c>
      <c r="F211" t="inlineStr">
        <is>
          <t>KRONOBERGS LÄN</t>
        </is>
      </c>
      <c r="G211" t="inlineStr">
        <is>
          <t>ALVESTA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45629</v>
      </c>
      <c r="E212" s="1" t="n">
        <v>46310</v>
      </c>
      <c r="F212" t="inlineStr">
        <is>
          <t>KRONOBERGS LÄN</t>
        </is>
      </c>
      <c r="G212" t="inlineStr">
        <is>
          <t>ALVESTA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46310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46310</v>
      </c>
      <c r="F214" t="inlineStr">
        <is>
          <t>KRONOBERGS LÄN</t>
        </is>
      </c>
      <c r="G214" t="inlineStr">
        <is>
          <t>ALVESTA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46310</v>
      </c>
      <c r="F215" t="inlineStr">
        <is>
          <t>KRONOBERGS LÄN</t>
        </is>
      </c>
      <c r="G215" t="inlineStr">
        <is>
          <t>ALVESTA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45860</v>
      </c>
      <c r="E216" s="1" t="n">
        <v>46310</v>
      </c>
      <c r="F216" t="inlineStr">
        <is>
          <t>KRONOBERGS LÄN</t>
        </is>
      </c>
      <c r="G216" t="inlineStr">
        <is>
          <t>ALVESTA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45744</v>
      </c>
      <c r="E217" s="1" t="n">
        <v>46310</v>
      </c>
      <c r="F217" t="inlineStr">
        <is>
          <t>KRONOBERGS LÄN</t>
        </is>
      </c>
      <c r="G217" t="inlineStr">
        <is>
          <t>ALVESTA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46310</v>
      </c>
      <c r="F218" t="inlineStr">
        <is>
          <t>KRONOBERGS LÄN</t>
        </is>
      </c>
      <c r="G218" t="inlineStr">
        <is>
          <t>ALVESTA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46310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46310</v>
      </c>
      <c r="F220" t="inlineStr">
        <is>
          <t>KRONOBERGS LÄN</t>
        </is>
      </c>
      <c r="G220" t="inlineStr">
        <is>
          <t>ALVESTA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46310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46310</v>
      </c>
      <c r="F222" t="inlineStr">
        <is>
          <t>KRONOBERGS LÄN</t>
        </is>
      </c>
      <c r="G222" t="inlineStr">
        <is>
          <t>ALVESTA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46310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46310</v>
      </c>
      <c r="F224" t="inlineStr">
        <is>
          <t>KRONOBERGS LÄN</t>
        </is>
      </c>
      <c r="G224" t="inlineStr">
        <is>
          <t>ALVESTA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45418</v>
      </c>
      <c r="E225" s="1" t="n">
        <v>46310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46310</v>
      </c>
      <c r="F226" t="inlineStr">
        <is>
          <t>KRONOBERGS LÄN</t>
        </is>
      </c>
      <c r="G226" t="inlineStr">
        <is>
          <t>ALVESTA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46310</v>
      </c>
      <c r="F227" t="inlineStr">
        <is>
          <t>KRONOBERGS LÄN</t>
        </is>
      </c>
      <c r="G227" t="inlineStr">
        <is>
          <t>ALVESTA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44972</v>
      </c>
      <c r="E228" s="1" t="n">
        <v>46310</v>
      </c>
      <c r="F228" t="inlineStr">
        <is>
          <t>KRONOBERGS LÄN</t>
        </is>
      </c>
      <c r="G228" t="inlineStr">
        <is>
          <t>ALVESTA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44818-2024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45574</v>
      </c>
      <c r="E229" s="1" t="n">
        <v>46310</v>
      </c>
      <c r="F229" t="inlineStr">
        <is>
          <t>KRONOBERGS LÄN</t>
        </is>
      </c>
      <c r="G229" t="inlineStr">
        <is>
          <t>ALVESTA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46310</v>
      </c>
      <c r="F230" t="inlineStr">
        <is>
          <t>KRONOBERGS LÄN</t>
        </is>
      </c>
      <c r="G230" t="inlineStr">
        <is>
          <t>ALVESTA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45546</v>
      </c>
      <c r="E231" s="1" t="n">
        <v>46310</v>
      </c>
      <c r="F231" t="inlineStr">
        <is>
          <t>KRONOBERGS LÄN</t>
        </is>
      </c>
      <c r="G231" t="inlineStr">
        <is>
          <t>ALVESTA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45169</v>
      </c>
      <c r="E232" s="1" t="n">
        <v>46310</v>
      </c>
      <c r="F232" t="inlineStr">
        <is>
          <t>KRONOBERGS LÄN</t>
        </is>
      </c>
      <c r="G232" t="inlineStr">
        <is>
          <t>ALVESTA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46310</v>
      </c>
      <c r="F233" t="inlineStr">
        <is>
          <t>KRONOBERGS LÄN</t>
        </is>
      </c>
      <c r="G233" t="inlineStr">
        <is>
          <t>ALVESTA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44504</v>
      </c>
      <c r="E234" s="1" t="n">
        <v>46310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46310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46310</v>
      </c>
      <c r="F236" t="inlineStr">
        <is>
          <t>KRONOBERGS LÄN</t>
        </is>
      </c>
      <c r="G236" t="inlineStr">
        <is>
          <t>ALVESTA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46310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45890</v>
      </c>
      <c r="E238" s="1" t="n">
        <v>46310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46310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46310</v>
      </c>
      <c r="F240" t="inlineStr">
        <is>
          <t>KRONOBERGS LÄN</t>
        </is>
      </c>
      <c r="G240" t="inlineStr">
        <is>
          <t>ALVESTA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46310</v>
      </c>
      <c r="F241" t="inlineStr">
        <is>
          <t>KRONOBERGS LÄN</t>
        </is>
      </c>
      <c r="G241" t="inlineStr">
        <is>
          <t>ALVESTA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46310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44839</v>
      </c>
      <c r="E243" s="1" t="n">
        <v>46310</v>
      </c>
      <c r="F243" t="inlineStr">
        <is>
          <t>KRONOBERGS LÄN</t>
        </is>
      </c>
      <c r="G243" t="inlineStr">
        <is>
          <t>ALVESTA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46310</v>
      </c>
      <c r="F244" t="inlineStr">
        <is>
          <t>KRONOBERGS LÄN</t>
        </is>
      </c>
      <c r="G244" t="inlineStr">
        <is>
          <t>ALVESTA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45296</v>
      </c>
      <c r="E245" s="1" t="n">
        <v>46310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46079</v>
      </c>
      <c r="E246" s="1" t="n">
        <v>46310</v>
      </c>
      <c r="F246" t="inlineStr">
        <is>
          <t>KRONOBERGS LÄN</t>
        </is>
      </c>
      <c r="G246" t="inlineStr">
        <is>
          <t>ALVESTA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46310</v>
      </c>
      <c r="F247" t="inlineStr">
        <is>
          <t>KRONOBERGS LÄN</t>
        </is>
      </c>
      <c r="G247" t="inlineStr">
        <is>
          <t>ALVESTA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46310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46310</v>
      </c>
      <c r="F249" t="inlineStr">
        <is>
          <t>KRONOBERGS LÄN</t>
        </is>
      </c>
      <c r="G249" t="inlineStr">
        <is>
          <t>ALVESTA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46310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46310</v>
      </c>
      <c r="F251" t="inlineStr">
        <is>
          <t>KRONOBERGS LÄN</t>
        </is>
      </c>
      <c r="G251" t="inlineStr">
        <is>
          <t>ALVESTA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11331-2026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46081</v>
      </c>
      <c r="E252" s="1" t="n">
        <v>46310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45463</v>
      </c>
      <c r="E253" s="1" t="n">
        <v>46310</v>
      </c>
      <c r="F253" t="inlineStr">
        <is>
          <t>KRONOBERGS LÄN</t>
        </is>
      </c>
      <c r="G253" t="inlineStr">
        <is>
          <t>ALVESTA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45418</v>
      </c>
      <c r="E254" s="1" t="n">
        <v>46310</v>
      </c>
      <c r="F254" t="inlineStr">
        <is>
          <t>KRONOBERGS LÄN</t>
        </is>
      </c>
      <c r="G254" t="inlineStr">
        <is>
          <t>ALVESTA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46310</v>
      </c>
      <c r="F255" t="inlineStr">
        <is>
          <t>KRONOBERGS LÄN</t>
        </is>
      </c>
      <c r="G255" t="inlineStr">
        <is>
          <t>ALVESTA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46310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57118-2023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45245</v>
      </c>
      <c r="E257" s="1" t="n">
        <v>46310</v>
      </c>
      <c r="F257" t="inlineStr">
        <is>
          <t>KRONOBERGS LÄN</t>
        </is>
      </c>
      <c r="G257" t="inlineStr">
        <is>
          <t>ALVESTA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46310</v>
      </c>
      <c r="F258" t="inlineStr">
        <is>
          <t>KRONOBERGS LÄN</t>
        </is>
      </c>
      <c r="G258" t="inlineStr">
        <is>
          <t>ALVESTA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46310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46310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44901</v>
      </c>
      <c r="E261" s="1" t="n">
        <v>46310</v>
      </c>
      <c r="F261" t="inlineStr">
        <is>
          <t>KRONOBERGS LÄN</t>
        </is>
      </c>
      <c r="G261" t="inlineStr">
        <is>
          <t>ALVESTA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46310</v>
      </c>
      <c r="F262" t="inlineStr">
        <is>
          <t>KRONOBERGS LÄN</t>
        </is>
      </c>
      <c r="G262" t="inlineStr">
        <is>
          <t>ALVESTA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12258-2026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46087</v>
      </c>
      <c r="E263" s="1" t="n">
        <v>46310</v>
      </c>
      <c r="F263" t="inlineStr">
        <is>
          <t>KRONOBERGS LÄN</t>
        </is>
      </c>
      <c r="G263" t="inlineStr">
        <is>
          <t>ALVESTA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45436</v>
      </c>
      <c r="E264" s="1" t="n">
        <v>46310</v>
      </c>
      <c r="F264" t="inlineStr">
        <is>
          <t>KRONOBERGS LÄN</t>
        </is>
      </c>
      <c r="G264" t="inlineStr">
        <is>
          <t>ALVESTA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45338</v>
      </c>
      <c r="E265" s="1" t="n">
        <v>46310</v>
      </c>
      <c r="F265" t="inlineStr">
        <is>
          <t>KRONOBERGS LÄN</t>
        </is>
      </c>
      <c r="G265" t="inlineStr">
        <is>
          <t>ALVESTA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45338</v>
      </c>
      <c r="E266" s="1" t="n">
        <v>46310</v>
      </c>
      <c r="F266" t="inlineStr">
        <is>
          <t>KRONOBERGS LÄN</t>
        </is>
      </c>
      <c r="G266" t="inlineStr">
        <is>
          <t>ALVESTA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46310</v>
      </c>
      <c r="F267" t="inlineStr">
        <is>
          <t>KRONOBERGS LÄN</t>
        </is>
      </c>
      <c r="G267" t="inlineStr">
        <is>
          <t>ALVESTA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45345</v>
      </c>
      <c r="E268" s="1" t="n">
        <v>46310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45078</v>
      </c>
      <c r="E269" s="1" t="n">
        <v>46310</v>
      </c>
      <c r="F269" t="inlineStr">
        <is>
          <t>KRONOBERGS LÄN</t>
        </is>
      </c>
      <c r="G269" t="inlineStr">
        <is>
          <t>ALVESTA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45462</v>
      </c>
      <c r="E270" s="1" t="n">
        <v>46310</v>
      </c>
      <c r="F270" t="inlineStr">
        <is>
          <t>KRONOBERGS LÄN</t>
        </is>
      </c>
      <c r="G270" t="inlineStr">
        <is>
          <t>ALVESTA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46310</v>
      </c>
      <c r="F271" t="inlineStr">
        <is>
          <t>KRONOBERGS LÄN</t>
        </is>
      </c>
      <c r="G271" t="inlineStr">
        <is>
          <t>ALVESTA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46310</v>
      </c>
      <c r="F272" t="inlineStr">
        <is>
          <t>KRONOBERGS LÄN</t>
        </is>
      </c>
      <c r="G272" t="inlineStr">
        <is>
          <t>ALVESTA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46310</v>
      </c>
      <c r="F273" t="inlineStr">
        <is>
          <t>KRONOBERGS LÄN</t>
        </is>
      </c>
      <c r="G273" t="inlineStr">
        <is>
          <t>ALVESTA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46310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46310</v>
      </c>
      <c r="F275" t="inlineStr">
        <is>
          <t>KRONOBERGS LÄN</t>
        </is>
      </c>
      <c r="G275" t="inlineStr">
        <is>
          <t>ALVESTA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46310</v>
      </c>
      <c r="F276" t="inlineStr">
        <is>
          <t>KRONOBERGS LÄN</t>
        </is>
      </c>
      <c r="G276" t="inlineStr">
        <is>
          <t>ALVESTA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45831</v>
      </c>
      <c r="E277" s="1" t="n">
        <v>46310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60157-2024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46310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46310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46310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44948</v>
      </c>
      <c r="E281" s="1" t="n">
        <v>46310</v>
      </c>
      <c r="F281" t="inlineStr">
        <is>
          <t>KRONOBERGS LÄN</t>
        </is>
      </c>
      <c r="G281" t="inlineStr">
        <is>
          <t>ALVESTA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46310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65092-2023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45288</v>
      </c>
      <c r="E283" s="1" t="n">
        <v>46310</v>
      </c>
      <c r="F283" t="inlineStr">
        <is>
          <t>KRONOBERGS LÄN</t>
        </is>
      </c>
      <c r="G283" t="inlineStr">
        <is>
          <t>ALVESTA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46310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46310</v>
      </c>
      <c r="F285" t="inlineStr">
        <is>
          <t>KRONOBERGS LÄN</t>
        </is>
      </c>
      <c r="G285" t="inlineStr">
        <is>
          <t>ALVESTA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45043</v>
      </c>
      <c r="E286" s="1" t="n">
        <v>46310</v>
      </c>
      <c r="F286" t="inlineStr">
        <is>
          <t>KRONOBERGS LÄN</t>
        </is>
      </c>
      <c r="G286" t="inlineStr">
        <is>
          <t>ALVESTA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46310</v>
      </c>
      <c r="F287" t="inlineStr">
        <is>
          <t>KRONOBERGS LÄN</t>
        </is>
      </c>
      <c r="G287" t="inlineStr">
        <is>
          <t>ALVESTA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46310</v>
      </c>
      <c r="F288" t="inlineStr">
        <is>
          <t>KRONOBERGS LÄN</t>
        </is>
      </c>
      <c r="G288" t="inlineStr">
        <is>
          <t>ALVESTA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46310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46310</v>
      </c>
      <c r="F290" t="inlineStr">
        <is>
          <t>KRONOBERGS LÄN</t>
        </is>
      </c>
      <c r="G290" t="inlineStr">
        <is>
          <t>ALVESTA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46310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46310</v>
      </c>
      <c r="F292" t="inlineStr">
        <is>
          <t>KRONOBERGS LÄN</t>
        </is>
      </c>
      <c r="G292" t="inlineStr">
        <is>
          <t>ALVESTA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45359</v>
      </c>
      <c r="E293" s="1" t="n">
        <v>46310</v>
      </c>
      <c r="F293" t="inlineStr">
        <is>
          <t>KRONOBERGS LÄN</t>
        </is>
      </c>
      <c r="G293" t="inlineStr">
        <is>
          <t>ALVESTA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46310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46310</v>
      </c>
      <c r="F295" t="inlineStr">
        <is>
          <t>KRONOBERGS LÄN</t>
        </is>
      </c>
      <c r="G295" t="inlineStr">
        <is>
          <t>ALVESTA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44743</v>
      </c>
      <c r="E296" s="1" t="n">
        <v>46310</v>
      </c>
      <c r="F296" t="inlineStr">
        <is>
          <t>KRONOBERGS LÄN</t>
        </is>
      </c>
      <c r="G296" t="inlineStr">
        <is>
          <t>ALVESTA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44743</v>
      </c>
      <c r="E297" s="1" t="n">
        <v>46310</v>
      </c>
      <c r="F297" t="inlineStr">
        <is>
          <t>KRONOBERGS LÄN</t>
        </is>
      </c>
      <c r="G297" t="inlineStr">
        <is>
          <t>ALVESTA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28818-2022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44749</v>
      </c>
      <c r="E298" s="1" t="n">
        <v>46310</v>
      </c>
      <c r="F298" t="inlineStr">
        <is>
          <t>KRONOBERGS LÄN</t>
        </is>
      </c>
      <c r="G298" t="inlineStr">
        <is>
          <t>ALVESTA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46310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40049-2022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44820</v>
      </c>
      <c r="E300" s="1" t="n">
        <v>46310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46310</v>
      </c>
      <c r="F301" t="inlineStr">
        <is>
          <t>KRONOBERGS LÄN</t>
        </is>
      </c>
      <c r="G301" t="inlineStr">
        <is>
          <t>ALVESTA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46310</v>
      </c>
      <c r="F302" t="inlineStr">
        <is>
          <t>KRONOBERGS LÄN</t>
        </is>
      </c>
      <c r="G302" t="inlineStr">
        <is>
          <t>ALVESTA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17823-2026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46122</v>
      </c>
      <c r="E303" s="1" t="n">
        <v>46310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46310</v>
      </c>
      <c r="F304" t="inlineStr">
        <is>
          <t>KRONOBERGS LÄN</t>
        </is>
      </c>
      <c r="G304" t="inlineStr">
        <is>
          <t>ALVESTA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17801-2026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46122</v>
      </c>
      <c r="E305" s="1" t="n">
        <v>46310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45337</v>
      </c>
      <c r="E306" s="1" t="n">
        <v>46310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46310</v>
      </c>
      <c r="F307" t="inlineStr">
        <is>
          <t>KRONOBERGS LÄN</t>
        </is>
      </c>
      <c r="G307" t="inlineStr">
        <is>
          <t>ALVESTA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45359</v>
      </c>
      <c r="E308" s="1" t="n">
        <v>46310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46310</v>
      </c>
      <c r="F309" t="inlineStr">
        <is>
          <t>KRONOBERGS LÄN</t>
        </is>
      </c>
      <c r="G309" t="inlineStr">
        <is>
          <t>ALVESTA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46310</v>
      </c>
      <c r="F310" t="inlineStr">
        <is>
          <t>KRONOBERGS LÄN</t>
        </is>
      </c>
      <c r="G310" t="inlineStr">
        <is>
          <t>ALVESTA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45359</v>
      </c>
      <c r="E311" s="1" t="n">
        <v>46310</v>
      </c>
      <c r="F311" t="inlineStr">
        <is>
          <t>KRONOBERGS LÄN</t>
        </is>
      </c>
      <c r="G311" t="inlineStr">
        <is>
          <t>ALVESTA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46310</v>
      </c>
      <c r="F312" t="inlineStr">
        <is>
          <t>KRONOBERGS LÄN</t>
        </is>
      </c>
      <c r="G312" t="inlineStr">
        <is>
          <t>ALVESTA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46310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46310</v>
      </c>
      <c r="F314" t="inlineStr">
        <is>
          <t>KRONOBERGS LÄN</t>
        </is>
      </c>
      <c r="G314" t="inlineStr">
        <is>
          <t>ALVESTA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46310</v>
      </c>
      <c r="F315" t="inlineStr">
        <is>
          <t>KRONOBERGS LÄN</t>
        </is>
      </c>
      <c r="G315" t="inlineStr">
        <is>
          <t>ALVESTA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46310</v>
      </c>
      <c r="F316" t="inlineStr">
        <is>
          <t>KRONOBERGS LÄN</t>
        </is>
      </c>
      <c r="G316" t="inlineStr">
        <is>
          <t>ALVESTA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46310</v>
      </c>
      <c r="F317" t="inlineStr">
        <is>
          <t>KRONOBERGS LÄN</t>
        </is>
      </c>
      <c r="G317" t="inlineStr">
        <is>
          <t>ALVESTA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45128</v>
      </c>
      <c r="E318" s="1" t="n">
        <v>46310</v>
      </c>
      <c r="F318" t="inlineStr">
        <is>
          <t>KRONOBERGS LÄN</t>
        </is>
      </c>
      <c r="G318" t="inlineStr">
        <is>
          <t>ALVESTA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60700-2025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45996</v>
      </c>
      <c r="E319" s="1" t="n">
        <v>46310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46310</v>
      </c>
      <c r="F320" t="inlineStr">
        <is>
          <t>KRONOBERGS LÄN</t>
        </is>
      </c>
      <c r="G320" t="inlineStr">
        <is>
          <t>ALVESTA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46132</v>
      </c>
      <c r="E321" s="1" t="n">
        <v>46310</v>
      </c>
      <c r="F321" t="inlineStr">
        <is>
          <t>KRONOBERGS LÄN</t>
        </is>
      </c>
      <c r="G321" t="inlineStr">
        <is>
          <t>ALVESTA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46310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6475-2022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46310</v>
      </c>
      <c r="F323" t="inlineStr">
        <is>
          <t>KRONOBERGS LÄN</t>
        </is>
      </c>
      <c r="G323" t="inlineStr">
        <is>
          <t>ALVESTA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45105</v>
      </c>
      <c r="E324" s="1" t="n">
        <v>46310</v>
      </c>
      <c r="F324" t="inlineStr">
        <is>
          <t>KRONOBERGS LÄN</t>
        </is>
      </c>
      <c r="G324" t="inlineStr">
        <is>
          <t>ALVESTA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45079</v>
      </c>
      <c r="E325" s="1" t="n">
        <v>46310</v>
      </c>
      <c r="F325" t="inlineStr">
        <is>
          <t>KRONOBERGS LÄN</t>
        </is>
      </c>
      <c r="G325" t="inlineStr">
        <is>
          <t>ALVESTA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67331-2021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44523</v>
      </c>
      <c r="E326" s="1" t="n">
        <v>46310</v>
      </c>
      <c r="F326" t="inlineStr">
        <is>
          <t>KRONOBERGS LÄN</t>
        </is>
      </c>
      <c r="G326" t="inlineStr">
        <is>
          <t>ALVESTA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45678</v>
      </c>
      <c r="E327" s="1" t="n">
        <v>46310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45362</v>
      </c>
      <c r="E328" s="1" t="n">
        <v>46310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45336</v>
      </c>
      <c r="E329" s="1" t="n">
        <v>46310</v>
      </c>
      <c r="F329" t="inlineStr">
        <is>
          <t>KRONOBERGS LÄN</t>
        </is>
      </c>
      <c r="G329" t="inlineStr">
        <is>
          <t>ALVESTA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45300</v>
      </c>
      <c r="E330" s="1" t="n">
        <v>46310</v>
      </c>
      <c r="F330" t="inlineStr">
        <is>
          <t>KRONOBERGS LÄN</t>
        </is>
      </c>
      <c r="G330" t="inlineStr">
        <is>
          <t>ALVESTA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45664</v>
      </c>
      <c r="E331" s="1" t="n">
        <v>46310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33059-2024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45517</v>
      </c>
      <c r="E332" s="1" t="n">
        <v>46310</v>
      </c>
      <c r="F332" t="inlineStr">
        <is>
          <t>KRONOBERGS LÄN</t>
        </is>
      </c>
      <c r="G332" t="inlineStr">
        <is>
          <t>ALVESTA</t>
        </is>
      </c>
      <c r="H332" t="inlineStr">
        <is>
          <t>Kyrkan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46310</v>
      </c>
      <c r="F333" t="inlineStr">
        <is>
          <t>KRONOBERGS LÄN</t>
        </is>
      </c>
      <c r="G333" t="inlineStr">
        <is>
          <t>ALVESTA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60478-2023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45259</v>
      </c>
      <c r="E334" s="1" t="n">
        <v>46310</v>
      </c>
      <c r="F334" t="inlineStr">
        <is>
          <t>KRONOBERGS LÄN</t>
        </is>
      </c>
      <c r="G334" t="inlineStr">
        <is>
          <t>ALVESTA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44838</v>
      </c>
      <c r="E335" s="1" t="n">
        <v>46310</v>
      </c>
      <c r="F335" t="inlineStr">
        <is>
          <t>KRONOBERGS LÄN</t>
        </is>
      </c>
      <c r="G335" t="inlineStr">
        <is>
          <t>ALVESTA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46310</v>
      </c>
      <c r="F336" t="inlineStr">
        <is>
          <t>KRONOBERGS LÄN</t>
        </is>
      </c>
      <c r="G336" t="inlineStr">
        <is>
          <t>ALVESTA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46310</v>
      </c>
      <c r="F337" t="inlineStr">
        <is>
          <t>KRONOBERGS LÄN</t>
        </is>
      </c>
      <c r="G337" t="inlineStr">
        <is>
          <t>ALVESTA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46310</v>
      </c>
      <c r="F338" t="inlineStr">
        <is>
          <t>KRONOBERGS LÄN</t>
        </is>
      </c>
      <c r="G338" t="inlineStr">
        <is>
          <t>ALVESTA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45673</v>
      </c>
      <c r="E339" s="1" t="n">
        <v>46310</v>
      </c>
      <c r="F339" t="inlineStr">
        <is>
          <t>KRONOBERGS LÄN</t>
        </is>
      </c>
      <c r="G339" t="inlineStr">
        <is>
          <t>ALVESTA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46310</v>
      </c>
      <c r="F340" t="inlineStr">
        <is>
          <t>KRONOBERGS LÄN</t>
        </is>
      </c>
      <c r="G340" t="inlineStr">
        <is>
          <t>ALVESTA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45189</v>
      </c>
      <c r="E341" s="1" t="n">
        <v>46310</v>
      </c>
      <c r="F341" t="inlineStr">
        <is>
          <t>KRONOBERGS LÄN</t>
        </is>
      </c>
      <c r="G341" t="inlineStr">
        <is>
          <t>ALVESTA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46310</v>
      </c>
      <c r="F342" t="inlineStr">
        <is>
          <t>KRONOBERGS LÄN</t>
        </is>
      </c>
      <c r="G342" t="inlineStr">
        <is>
          <t>ALVESTA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46310</v>
      </c>
      <c r="F343" t="inlineStr">
        <is>
          <t>KRONOBERGS LÄN</t>
        </is>
      </c>
      <c r="G343" t="inlineStr">
        <is>
          <t>ALVESTA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45471</v>
      </c>
      <c r="E344" s="1" t="n">
        <v>46310</v>
      </c>
      <c r="F344" t="inlineStr">
        <is>
          <t>KRONOBERGS LÄN</t>
        </is>
      </c>
      <c r="G344" t="inlineStr">
        <is>
          <t>ALVESTA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44951</v>
      </c>
      <c r="E345" s="1" t="n">
        <v>46310</v>
      </c>
      <c r="F345" t="inlineStr">
        <is>
          <t>KRONOBERGS LÄN</t>
        </is>
      </c>
      <c r="G345" t="inlineStr">
        <is>
          <t>ALVESTA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46310</v>
      </c>
      <c r="F346" t="inlineStr">
        <is>
          <t>KRONOBERGS LÄN</t>
        </is>
      </c>
      <c r="G346" t="inlineStr">
        <is>
          <t>ALVESTA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46310</v>
      </c>
      <c r="F347" t="inlineStr">
        <is>
          <t>KRONOBERGS LÄN</t>
        </is>
      </c>
      <c r="G347" t="inlineStr">
        <is>
          <t>ALVESTA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46310</v>
      </c>
      <c r="F348" t="inlineStr">
        <is>
          <t>KRONOBERGS LÄN</t>
        </is>
      </c>
      <c r="G348" t="inlineStr">
        <is>
          <t>ALVESTA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46310</v>
      </c>
      <c r="F349" t="inlineStr">
        <is>
          <t>KRONOBERGS LÄN</t>
        </is>
      </c>
      <c r="G349" t="inlineStr">
        <is>
          <t>ALVESTA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46310</v>
      </c>
      <c r="F350" t="inlineStr">
        <is>
          <t>KRONOBERGS LÄN</t>
        </is>
      </c>
      <c r="G350" t="inlineStr">
        <is>
          <t>ALVESTA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45949</v>
      </c>
      <c r="E351" s="1" t="n">
        <v>46310</v>
      </c>
      <c r="F351" t="inlineStr">
        <is>
          <t>KRONOBERGS LÄN</t>
        </is>
      </c>
      <c r="G351" t="inlineStr">
        <is>
          <t>ALVESTA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46310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46310</v>
      </c>
      <c r="F353" t="inlineStr">
        <is>
          <t>KRONOBERGS LÄN</t>
        </is>
      </c>
      <c r="G353" t="inlineStr">
        <is>
          <t>ALVESTA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46310</v>
      </c>
      <c r="F354" t="inlineStr">
        <is>
          <t>KRONOBERGS LÄN</t>
        </is>
      </c>
      <c r="G354" t="inlineStr">
        <is>
          <t>ALVESTA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45563</v>
      </c>
      <c r="E355" s="1" t="n">
        <v>46310</v>
      </c>
      <c r="F355" t="inlineStr">
        <is>
          <t>KRONOBERGS LÄN</t>
        </is>
      </c>
      <c r="G355" t="inlineStr">
        <is>
          <t>ALVESTA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46310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31855-2023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46310</v>
      </c>
      <c r="F357" t="inlineStr">
        <is>
          <t>KRONOBERGS LÄN</t>
        </is>
      </c>
      <c r="G357" t="inlineStr">
        <is>
          <t>ALVESTA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46310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46310</v>
      </c>
      <c r="F359" t="inlineStr">
        <is>
          <t>KRONOBERGS LÄN</t>
        </is>
      </c>
      <c r="G359" t="inlineStr">
        <is>
          <t>ALVESTA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46310</v>
      </c>
      <c r="F360" t="inlineStr">
        <is>
          <t>KRONOBERGS LÄN</t>
        </is>
      </c>
      <c r="G360" t="inlineStr">
        <is>
          <t>ALVESTA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30223-2025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46310</v>
      </c>
      <c r="F361" t="inlineStr">
        <is>
          <t>KRONOBERGS LÄN</t>
        </is>
      </c>
      <c r="G361" t="inlineStr">
        <is>
          <t>ALVESTA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45390</v>
      </c>
      <c r="E362" s="1" t="n">
        <v>46310</v>
      </c>
      <c r="F362" t="inlineStr">
        <is>
          <t>KRONOBERGS LÄN</t>
        </is>
      </c>
      <c r="G362" t="inlineStr">
        <is>
          <t>ALVESTA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46310</v>
      </c>
      <c r="F363" t="inlineStr">
        <is>
          <t>KRONOBERGS LÄN</t>
        </is>
      </c>
      <c r="G363" t="inlineStr">
        <is>
          <t>ALVESTA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46310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46310</v>
      </c>
      <c r="F365" t="inlineStr">
        <is>
          <t>KRONOBERGS LÄN</t>
        </is>
      </c>
      <c r="G365" t="inlineStr">
        <is>
          <t>ALVESTA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45478</v>
      </c>
      <c r="E366" s="1" t="n">
        <v>46310</v>
      </c>
      <c r="F366" t="inlineStr">
        <is>
          <t>KRONOBERGS LÄN</t>
        </is>
      </c>
      <c r="G366" t="inlineStr">
        <is>
          <t>ALVESTA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38639-2025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45884</v>
      </c>
      <c r="E367" s="1" t="n">
        <v>46310</v>
      </c>
      <c r="F367" t="inlineStr">
        <is>
          <t>KRONOBERGS LÄN</t>
        </is>
      </c>
      <c r="G367" t="inlineStr">
        <is>
          <t>ALVESTA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46310</v>
      </c>
      <c r="F368" t="inlineStr">
        <is>
          <t>KRONOBERGS LÄN</t>
        </is>
      </c>
      <c r="G368" t="inlineStr">
        <is>
          <t>ALVESTA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46310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46310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46310</v>
      </c>
      <c r="F371" t="inlineStr">
        <is>
          <t>KRONOBERGS LÄN</t>
        </is>
      </c>
      <c r="G371" t="inlineStr">
        <is>
          <t>ALVESTA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44670</v>
      </c>
      <c r="E372" s="1" t="n">
        <v>46310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45666</v>
      </c>
      <c r="E373" s="1" t="n">
        <v>46310</v>
      </c>
      <c r="F373" t="inlineStr">
        <is>
          <t>KRONOBERGS LÄN</t>
        </is>
      </c>
      <c r="G373" t="inlineStr">
        <is>
          <t>ALVESTA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46310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35601-2025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45858</v>
      </c>
      <c r="E375" s="1" t="n">
        <v>46310</v>
      </c>
      <c r="F375" t="inlineStr">
        <is>
          <t>KRONOBERGS LÄN</t>
        </is>
      </c>
      <c r="G375" t="inlineStr">
        <is>
          <t>ALVESTA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46310</v>
      </c>
      <c r="F376" t="inlineStr">
        <is>
          <t>KRONOBERGS LÄN</t>
        </is>
      </c>
      <c r="G376" t="inlineStr">
        <is>
          <t>ALVESTA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46310</v>
      </c>
      <c r="F377" t="inlineStr">
        <is>
          <t>KRONOBERGS LÄN</t>
        </is>
      </c>
      <c r="G377" t="inlineStr">
        <is>
          <t>ALVESTA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44620</v>
      </c>
      <c r="E378" s="1" t="n">
        <v>46310</v>
      </c>
      <c r="F378" t="inlineStr">
        <is>
          <t>KRONOBERGS LÄN</t>
        </is>
      </c>
      <c r="G378" t="inlineStr">
        <is>
          <t>ALVESTA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45362</v>
      </c>
      <c r="E379" s="1" t="n">
        <v>46310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46310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45436</v>
      </c>
      <c r="E381" s="1" t="n">
        <v>46310</v>
      </c>
      <c r="F381" t="inlineStr">
        <is>
          <t>KRONOBERGS LÄN</t>
        </is>
      </c>
      <c r="G381" t="inlineStr">
        <is>
          <t>ALVESTA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46310</v>
      </c>
      <c r="F382" t="inlineStr">
        <is>
          <t>KRONOBERGS LÄN</t>
        </is>
      </c>
      <c r="G382" t="inlineStr">
        <is>
          <t>ALVESTA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46310</v>
      </c>
      <c r="F383" t="inlineStr">
        <is>
          <t>KRONOBERGS LÄN</t>
        </is>
      </c>
      <c r="G383" t="inlineStr">
        <is>
          <t>ALVESTA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46051</v>
      </c>
      <c r="E384" s="1" t="n">
        <v>46310</v>
      </c>
      <c r="F384" t="inlineStr">
        <is>
          <t>KRONOBERGS LÄN</t>
        </is>
      </c>
      <c r="G384" t="inlineStr">
        <is>
          <t>ALVESTA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46310</v>
      </c>
      <c r="F385" t="inlineStr">
        <is>
          <t>KRONOBERGS LÄN</t>
        </is>
      </c>
      <c r="G385" t="inlineStr">
        <is>
          <t>ALVESTA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45342</v>
      </c>
      <c r="E386" s="1" t="n">
        <v>46310</v>
      </c>
      <c r="F386" t="inlineStr">
        <is>
          <t>KRONOBERGS LÄN</t>
        </is>
      </c>
      <c r="G386" t="inlineStr">
        <is>
          <t>ALVESTA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46310</v>
      </c>
      <c r="F387" t="inlineStr">
        <is>
          <t>KRONOBERGS LÄN</t>
        </is>
      </c>
      <c r="G387" t="inlineStr">
        <is>
          <t>ALVESTA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46310</v>
      </c>
      <c r="F388" t="inlineStr">
        <is>
          <t>KRONOBERGS LÄN</t>
        </is>
      </c>
      <c r="G388" t="inlineStr">
        <is>
          <t>ALVESTA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46310</v>
      </c>
      <c r="F389" t="inlineStr">
        <is>
          <t>KRONOBERGS LÄN</t>
        </is>
      </c>
      <c r="G389" t="inlineStr">
        <is>
          <t>ALVESTA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46310</v>
      </c>
      <c r="F390" t="inlineStr">
        <is>
          <t>KRONOBERGS LÄN</t>
        </is>
      </c>
      <c r="G390" t="inlineStr">
        <is>
          <t>ALVESTA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45359</v>
      </c>
      <c r="E391" s="1" t="n">
        <v>46310</v>
      </c>
      <c r="F391" t="inlineStr">
        <is>
          <t>KRONOBERGS LÄN</t>
        </is>
      </c>
      <c r="G391" t="inlineStr">
        <is>
          <t>ALVESTA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11912-2022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44635</v>
      </c>
      <c r="E392" s="1" t="n">
        <v>46310</v>
      </c>
      <c r="F392" t="inlineStr">
        <is>
          <t>KRONOBERGS LÄN</t>
        </is>
      </c>
      <c r="G392" t="inlineStr">
        <is>
          <t>ALVESTA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46310</v>
      </c>
      <c r="F393" t="inlineStr">
        <is>
          <t>KRONOBERGS LÄN</t>
        </is>
      </c>
      <c r="G393" t="inlineStr">
        <is>
          <t>ALVESTA</t>
        </is>
      </c>
      <c r="I393" t="n">
        <v>9.6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6838-2024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45342</v>
      </c>
      <c r="E394" s="1" t="n">
        <v>46310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7993-2026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46310</v>
      </c>
      <c r="F395" t="inlineStr">
        <is>
          <t>KRONOBERGS LÄN</t>
        </is>
      </c>
      <c r="G395" t="inlineStr">
        <is>
          <t>ALVESTA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46310</v>
      </c>
      <c r="F396" t="inlineStr">
        <is>
          <t>KRONOBERGS LÄN</t>
        </is>
      </c>
      <c r="G396" t="inlineStr">
        <is>
          <t>ALVESTA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46310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45136</v>
      </c>
      <c r="E398" s="1" t="n">
        <v>46310</v>
      </c>
      <c r="F398" t="inlineStr">
        <is>
          <t>KRONOBERGS LÄN</t>
        </is>
      </c>
      <c r="G398" t="inlineStr">
        <is>
          <t>ALVESTA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46310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45320</v>
      </c>
      <c r="E400" s="1" t="n">
        <v>46310</v>
      </c>
      <c r="F400" t="inlineStr">
        <is>
          <t>KRONOBERGS LÄN</t>
        </is>
      </c>
      <c r="G400" t="inlineStr">
        <is>
          <t>ALVESTA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44657</v>
      </c>
      <c r="E401" s="1" t="n">
        <v>46310</v>
      </c>
      <c r="F401" t="inlineStr">
        <is>
          <t>KRONOBERGS LÄN</t>
        </is>
      </c>
      <c r="G401" t="inlineStr">
        <is>
          <t>ALVESTA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60760-2022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44914</v>
      </c>
      <c r="E402" s="1" t="n">
        <v>46310</v>
      </c>
      <c r="F402" t="inlineStr">
        <is>
          <t>KRONOBERGS LÄN</t>
        </is>
      </c>
      <c r="G402" t="inlineStr">
        <is>
          <t>ALVESTA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45128</v>
      </c>
      <c r="E403" s="1" t="n">
        <v>46310</v>
      </c>
      <c r="F403" t="inlineStr">
        <is>
          <t>KRONOBERGS LÄN</t>
        </is>
      </c>
      <c r="G403" t="inlineStr">
        <is>
          <t>ALVESTA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53452-2024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46310</v>
      </c>
      <c r="F404" t="inlineStr">
        <is>
          <t>KRONOBERGS LÄN</t>
        </is>
      </c>
      <c r="G404" t="inlineStr">
        <is>
          <t>ALVESTA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46310</v>
      </c>
      <c r="F405" t="inlineStr">
        <is>
          <t>KRONOBERGS LÄN</t>
        </is>
      </c>
      <c r="G405" t="inlineStr">
        <is>
          <t>ALVESTA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45692</v>
      </c>
      <c r="E406" s="1" t="n">
        <v>46310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46310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45854</v>
      </c>
      <c r="E408" s="1" t="n">
        <v>46310</v>
      </c>
      <c r="F408" t="inlineStr">
        <is>
          <t>KRONOBERGS LÄN</t>
        </is>
      </c>
      <c r="G408" t="inlineStr">
        <is>
          <t>ALVESTA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46310</v>
      </c>
      <c r="F409" t="inlineStr">
        <is>
          <t>KRONOBERGS LÄN</t>
        </is>
      </c>
      <c r="G409" t="inlineStr">
        <is>
          <t>ALVESTA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46310</v>
      </c>
      <c r="F410" t="inlineStr">
        <is>
          <t>KRONOBERGS LÄN</t>
        </is>
      </c>
      <c r="G410" t="inlineStr">
        <is>
          <t>ALVESTA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46310</v>
      </c>
      <c r="F411" t="inlineStr">
        <is>
          <t>KRONOBERGS LÄN</t>
        </is>
      </c>
      <c r="G411" t="inlineStr">
        <is>
          <t>ALVESTA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45635</v>
      </c>
      <c r="E412" s="1" t="n">
        <v>46310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46310</v>
      </c>
      <c r="F413" t="inlineStr">
        <is>
          <t>KRONOBERGS LÄN</t>
        </is>
      </c>
      <c r="G413" t="inlineStr">
        <is>
          <t>ALVESTA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45338</v>
      </c>
      <c r="E414" s="1" t="n">
        <v>46310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46310</v>
      </c>
      <c r="F415" t="inlineStr">
        <is>
          <t>KRONOBERGS LÄN</t>
        </is>
      </c>
      <c r="G415" t="inlineStr">
        <is>
          <t>ALVESTA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46310</v>
      </c>
      <c r="F416" t="inlineStr">
        <is>
          <t>KRONOBERGS LÄN</t>
        </is>
      </c>
      <c r="G416" t="inlineStr">
        <is>
          <t>ALVESTA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46310</v>
      </c>
      <c r="F417" t="inlineStr">
        <is>
          <t>KRONOBERGS LÄN</t>
        </is>
      </c>
      <c r="G417" t="inlineStr">
        <is>
          <t>ALVESTA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46310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45366</v>
      </c>
      <c r="E419" s="1" t="n">
        <v>46310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46310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24419-2026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46169</v>
      </c>
      <c r="E421" s="1" t="n">
        <v>46310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46310</v>
      </c>
      <c r="F422" t="inlineStr">
        <is>
          <t>KRONOBERGS LÄN</t>
        </is>
      </c>
      <c r="G422" t="inlineStr">
        <is>
          <t>ALVESTA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46310</v>
      </c>
      <c r="F423" t="inlineStr">
        <is>
          <t>KRONOBERGS LÄN</t>
        </is>
      </c>
      <c r="G423" t="inlineStr">
        <is>
          <t>ALVESTA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46310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24420-2026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46169</v>
      </c>
      <c r="E425" s="1" t="n">
        <v>46310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44873</v>
      </c>
      <c r="E426" s="1" t="n">
        <v>46310</v>
      </c>
      <c r="F426" t="inlineStr">
        <is>
          <t>KRONOBERGS LÄN</t>
        </is>
      </c>
      <c r="G426" t="inlineStr">
        <is>
          <t>ALVESTA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52103-2024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46310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46310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46310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46310</v>
      </c>
      <c r="F430" t="inlineStr">
        <is>
          <t>KRONOBERGS LÄN</t>
        </is>
      </c>
      <c r="G430" t="inlineStr">
        <is>
          <t>ALVESTA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45547</v>
      </c>
      <c r="E431" s="1" t="n">
        <v>46310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46310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24692-2026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46171</v>
      </c>
      <c r="E433" s="1" t="n">
        <v>46310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46310</v>
      </c>
      <c r="F434" t="inlineStr">
        <is>
          <t>KRONOBERGS LÄN</t>
        </is>
      </c>
      <c r="G434" t="inlineStr">
        <is>
          <t>ALVESTA</t>
        </is>
      </c>
      <c r="H434" t="inlineStr">
        <is>
          <t>Kommuner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46310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46310</v>
      </c>
      <c r="F436" t="inlineStr">
        <is>
          <t>KRONOBERGS LÄN</t>
        </is>
      </c>
      <c r="G436" t="inlineStr">
        <is>
          <t>ALVESTA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46310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46310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36750-2022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46310</v>
      </c>
      <c r="F439" t="inlineStr">
        <is>
          <t>KRONOBERGS LÄN</t>
        </is>
      </c>
      <c r="G439" t="inlineStr">
        <is>
          <t>ALVESTA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52110-2024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45608</v>
      </c>
      <c r="E440" s="1" t="n">
        <v>46310</v>
      </c>
      <c r="F440" t="inlineStr">
        <is>
          <t>KRONOBERGS LÄN</t>
        </is>
      </c>
      <c r="G440" t="inlineStr">
        <is>
          <t>ALVESTA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32978-2023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46310</v>
      </c>
      <c r="F441" t="inlineStr">
        <is>
          <t>KRONOBERGS LÄN</t>
        </is>
      </c>
      <c r="G441" t="inlineStr">
        <is>
          <t>ALVESTA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46310</v>
      </c>
      <c r="F442" t="inlineStr">
        <is>
          <t>KRONOBERGS LÄN</t>
        </is>
      </c>
      <c r="G442" t="inlineStr">
        <is>
          <t>ALVESTA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45254</v>
      </c>
      <c r="E443" s="1" t="n">
        <v>46310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45349</v>
      </c>
      <c r="E444" s="1" t="n">
        <v>46310</v>
      </c>
      <c r="F444" t="inlineStr">
        <is>
          <t>KRONOBERGS LÄN</t>
        </is>
      </c>
      <c r="G444" t="inlineStr">
        <is>
          <t>ALVESTA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44893</v>
      </c>
      <c r="E445" s="1" t="n">
        <v>46310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46310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27077-2026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46186</v>
      </c>
      <c r="E447" s="1" t="n">
        <v>46310</v>
      </c>
      <c r="F447" t="inlineStr">
        <is>
          <t>KRONOBERGS LÄN</t>
        </is>
      </c>
      <c r="G447" t="inlineStr">
        <is>
          <t>ALVESTA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12818-2025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45733</v>
      </c>
      <c r="E448" s="1" t="n">
        <v>46310</v>
      </c>
      <c r="F448" t="inlineStr">
        <is>
          <t>KRONOBERGS LÄN</t>
        </is>
      </c>
      <c r="G448" t="inlineStr">
        <is>
          <t>ALVESTA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27032-2026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46185</v>
      </c>
      <c r="E449" s="1" t="n">
        <v>46310</v>
      </c>
      <c r="F449" t="inlineStr">
        <is>
          <t>KRONOBERGS LÄN</t>
        </is>
      </c>
      <c r="G449" t="inlineStr">
        <is>
          <t>ALVESTA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46310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46310</v>
      </c>
      <c r="F451" t="inlineStr">
        <is>
          <t>KRONOBERGS LÄN</t>
        </is>
      </c>
      <c r="G451" t="inlineStr">
        <is>
          <t>ALVESTA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45476</v>
      </c>
      <c r="E452" s="1" t="n">
        <v>46310</v>
      </c>
      <c r="F452" t="inlineStr">
        <is>
          <t>KRONOBERGS LÄN</t>
        </is>
      </c>
      <c r="G452" t="inlineStr">
        <is>
          <t>ALVESTA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46196</v>
      </c>
      <c r="E453" s="1" t="n">
        <v>46310</v>
      </c>
      <c r="F453" t="inlineStr">
        <is>
          <t>KRONOBERGS LÄN</t>
        </is>
      </c>
      <c r="G453" t="inlineStr">
        <is>
          <t>ALVESTA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39263-2023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45166</v>
      </c>
      <c r="E454" s="1" t="n">
        <v>46310</v>
      </c>
      <c r="F454" t="inlineStr">
        <is>
          <t>KRONOBERGS LÄN</t>
        </is>
      </c>
      <c r="G454" t="inlineStr">
        <is>
          <t>ALVESTA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46310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45155</v>
      </c>
      <c r="E456" s="1" t="n">
        <v>46310</v>
      </c>
      <c r="F456" t="inlineStr">
        <is>
          <t>KRONOBERGS LÄN</t>
        </is>
      </c>
      <c r="G456" t="inlineStr">
        <is>
          <t>ALVESTA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44935</v>
      </c>
      <c r="E457" s="1" t="n">
        <v>46310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46310</v>
      </c>
      <c r="F458" t="inlineStr">
        <is>
          <t>KRONOBERGS LÄN</t>
        </is>
      </c>
      <c r="G458" t="inlineStr">
        <is>
          <t>ALVESTA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45155</v>
      </c>
      <c r="E459" s="1" t="n">
        <v>46310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46310</v>
      </c>
      <c r="F460" t="inlineStr">
        <is>
          <t>KRONOBERGS LÄN</t>
        </is>
      </c>
      <c r="G460" t="inlineStr">
        <is>
          <t>ALVESTA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46310</v>
      </c>
      <c r="F461" t="inlineStr">
        <is>
          <t>KRONOBERGS LÄN</t>
        </is>
      </c>
      <c r="G461" t="inlineStr">
        <is>
          <t>ALVESTA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46310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46310</v>
      </c>
      <c r="F463" t="inlineStr">
        <is>
          <t>KRONOBERGS LÄN</t>
        </is>
      </c>
      <c r="G463" t="inlineStr">
        <is>
          <t>ALVESTA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46310</v>
      </c>
      <c r="F464" t="inlineStr">
        <is>
          <t>KRONOBERGS LÄN</t>
        </is>
      </c>
      <c r="G464" t="inlineStr">
        <is>
          <t>ALVESTA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46310</v>
      </c>
      <c r="F465" t="inlineStr">
        <is>
          <t>KRONOBERGS LÄN</t>
        </is>
      </c>
      <c r="G465" t="inlineStr">
        <is>
          <t>ALVESTA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46310</v>
      </c>
      <c r="F466" t="inlineStr">
        <is>
          <t>KRONOBERGS LÄN</t>
        </is>
      </c>
      <c r="G466" t="inlineStr">
        <is>
          <t>ALVESTA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45005</v>
      </c>
      <c r="E467" s="1" t="n">
        <v>46310</v>
      </c>
      <c r="F467" t="inlineStr">
        <is>
          <t>KRONOBERGS LÄN</t>
        </is>
      </c>
      <c r="G467" t="inlineStr">
        <is>
          <t>ALVESTA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46310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50976-2023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45218</v>
      </c>
      <c r="E469" s="1" t="n">
        <v>46310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10858-2023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44991</v>
      </c>
      <c r="E470" s="1" t="n">
        <v>46310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44868</v>
      </c>
      <c r="E471" s="1" t="n">
        <v>46310</v>
      </c>
      <c r="F471" t="inlineStr">
        <is>
          <t>KRONOBERGS LÄN</t>
        </is>
      </c>
      <c r="G471" t="inlineStr">
        <is>
          <t>ALVESTA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44601</v>
      </c>
      <c r="E472" s="1" t="n">
        <v>46310</v>
      </c>
      <c r="F472" t="inlineStr">
        <is>
          <t>KRONOBERGS LÄN</t>
        </is>
      </c>
      <c r="G472" t="inlineStr">
        <is>
          <t>ALVESTA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46310</v>
      </c>
      <c r="F473" t="inlineStr">
        <is>
          <t>KRONOBERGS LÄN</t>
        </is>
      </c>
      <c r="G473" t="inlineStr">
        <is>
          <t>ALVESTA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45426</v>
      </c>
      <c r="E474" s="1" t="n">
        <v>46310</v>
      </c>
      <c r="F474" t="inlineStr">
        <is>
          <t>KRONOBERGS LÄN</t>
        </is>
      </c>
      <c r="G474" t="inlineStr">
        <is>
          <t>ALVESTA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45068</v>
      </c>
      <c r="E475" s="1" t="n">
        <v>46310</v>
      </c>
      <c r="F475" t="inlineStr">
        <is>
          <t>KRONOBERGS LÄN</t>
        </is>
      </c>
      <c r="G475" t="inlineStr">
        <is>
          <t>ALVESTA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46310</v>
      </c>
      <c r="F476" t="inlineStr">
        <is>
          <t>KRONOBERGS LÄN</t>
        </is>
      </c>
      <c r="G476" t="inlineStr">
        <is>
          <t>ALVESTA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46310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46310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45614</v>
      </c>
      <c r="E479" s="1" t="n">
        <v>46310</v>
      </c>
      <c r="F479" t="inlineStr">
        <is>
          <t>KRONOBERGS LÄN</t>
        </is>
      </c>
      <c r="G479" t="inlineStr">
        <is>
          <t>ALVESTA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53459-2024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45614</v>
      </c>
      <c r="E480" s="1" t="n">
        <v>46310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46310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45305</v>
      </c>
      <c r="E482" s="1" t="n">
        <v>46310</v>
      </c>
      <c r="F482" t="inlineStr">
        <is>
          <t>KRONOBERGS LÄN</t>
        </is>
      </c>
      <c r="G482" t="inlineStr">
        <is>
          <t>ALVESTA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46310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45726</v>
      </c>
      <c r="E484" s="1" t="n">
        <v>46310</v>
      </c>
      <c r="F484" t="inlineStr">
        <is>
          <t>KRONOBERGS LÄN</t>
        </is>
      </c>
      <c r="G484" t="inlineStr">
        <is>
          <t>ALVESTA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53226-2024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45613</v>
      </c>
      <c r="E485" s="1" t="n">
        <v>46310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36946-2026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46310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46310</v>
      </c>
      <c r="F487" t="inlineStr">
        <is>
          <t>KRONOBERGS LÄN</t>
        </is>
      </c>
      <c r="G487" t="inlineStr">
        <is>
          <t>ALVESTA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46273</v>
      </c>
      <c r="E488" s="1" t="n">
        <v>46310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46273</v>
      </c>
      <c r="E489" s="1" t="n">
        <v>46310</v>
      </c>
      <c r="F489" t="inlineStr">
        <is>
          <t>KRONOBERGS LÄN</t>
        </is>
      </c>
      <c r="G489" t="inlineStr">
        <is>
          <t>ALVESTA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46310</v>
      </c>
      <c r="F490" t="inlineStr">
        <is>
          <t>KRONOBERGS LÄN</t>
        </is>
      </c>
      <c r="G490" t="inlineStr">
        <is>
          <t>ALVESTA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37095-2026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46274</v>
      </c>
      <c r="E491" s="1" t="n">
        <v>46310</v>
      </c>
      <c r="F491" t="inlineStr">
        <is>
          <t>KRONOBERGS LÄN</t>
        </is>
      </c>
      <c r="G491" t="inlineStr">
        <is>
          <t>ALVESTA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44998</v>
      </c>
      <c r="E492" s="1" t="n">
        <v>46310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37149-2026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46310</v>
      </c>
      <c r="F493" t="inlineStr">
        <is>
          <t>KRONOBERGS LÄN</t>
        </is>
      </c>
      <c r="G493" t="inlineStr">
        <is>
          <t>ALVESTA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46310</v>
      </c>
      <c r="F494" t="inlineStr">
        <is>
          <t>KRONOBERGS LÄN</t>
        </is>
      </c>
      <c r="G494" t="inlineStr">
        <is>
          <t>ALVESTA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9687-2024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45362</v>
      </c>
      <c r="E495" s="1" t="n">
        <v>46310</v>
      </c>
      <c r="F495" t="inlineStr">
        <is>
          <t>KRONOBERGS LÄN</t>
        </is>
      </c>
      <c r="G495" t="inlineStr">
        <is>
          <t>ALVESTA</t>
        </is>
      </c>
      <c r="I495" t="n">
        <v>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46310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46310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46310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38255-2026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46281</v>
      </c>
      <c r="E499" s="1" t="n">
        <v>46310</v>
      </c>
      <c r="F499" t="inlineStr">
        <is>
          <t>KRONOBERGS LÄN</t>
        </is>
      </c>
      <c r="G499" t="inlineStr">
        <is>
          <t>ALVESTA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46281</v>
      </c>
      <c r="E500" s="1" t="n">
        <v>46310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46310</v>
      </c>
      <c r="F501" t="inlineStr">
        <is>
          <t>KRONOBERGS LÄN</t>
        </is>
      </c>
      <c r="G501" t="inlineStr">
        <is>
          <t>ALVESTA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44994</v>
      </c>
      <c r="E502" s="1" t="n">
        <v>46310</v>
      </c>
      <c r="F502" t="inlineStr">
        <is>
          <t>KRONOBERGS LÄN</t>
        </is>
      </c>
      <c r="G502" t="inlineStr">
        <is>
          <t>ALVESTA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45267</v>
      </c>
      <c r="E503" s="1" t="n">
        <v>46310</v>
      </c>
      <c r="F503" t="inlineStr">
        <is>
          <t>KRONOBERGS LÄN</t>
        </is>
      </c>
      <c r="G503" t="inlineStr">
        <is>
          <t>ALVESTA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45076</v>
      </c>
      <c r="E504" s="1" t="n">
        <v>46310</v>
      </c>
      <c r="F504" t="inlineStr">
        <is>
          <t>KRONOBERGS LÄN</t>
        </is>
      </c>
      <c r="G504" t="inlineStr">
        <is>
          <t>ALVESTA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45092</v>
      </c>
      <c r="E505" s="1" t="n">
        <v>46310</v>
      </c>
      <c r="F505" t="inlineStr">
        <is>
          <t>KRONOBERGS LÄN</t>
        </is>
      </c>
      <c r="G505" t="inlineStr">
        <is>
          <t>ALVESTA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46310</v>
      </c>
      <c r="F506" t="inlineStr">
        <is>
          <t>KRONOBERGS LÄN</t>
        </is>
      </c>
      <c r="G506" t="inlineStr">
        <is>
          <t>ALVESTA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38890-2023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46310</v>
      </c>
      <c r="F507" t="inlineStr">
        <is>
          <t>KRONOBERGS LÄN</t>
        </is>
      </c>
      <c r="G507" t="inlineStr">
        <is>
          <t>ALVESTA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46310</v>
      </c>
      <c r="F508" t="inlineStr">
        <is>
          <t>KRONOBERGS LÄN</t>
        </is>
      </c>
      <c r="G508" t="inlineStr">
        <is>
          <t>ALVESTA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46310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46310</v>
      </c>
      <c r="F510" t="inlineStr">
        <is>
          <t>KRONOBERGS LÄN</t>
        </is>
      </c>
      <c r="G510" t="inlineStr">
        <is>
          <t>ALVESTA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46310</v>
      </c>
      <c r="F511" t="inlineStr">
        <is>
          <t>KRONOBERGS LÄN</t>
        </is>
      </c>
      <c r="G511" t="inlineStr">
        <is>
          <t>ALVESTA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38921-2026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46286</v>
      </c>
      <c r="E512" s="1" t="n">
        <v>46310</v>
      </c>
      <c r="F512" t="inlineStr">
        <is>
          <t>KRONOBERGS LÄN</t>
        </is>
      </c>
      <c r="G512" t="inlineStr">
        <is>
          <t>ALVESTA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46310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45524</v>
      </c>
      <c r="E514" s="1" t="n">
        <v>46310</v>
      </c>
      <c r="F514" t="inlineStr">
        <is>
          <t>KRONOBERGS LÄN</t>
        </is>
      </c>
      <c r="G514" t="inlineStr">
        <is>
          <t>ALVESTA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44880</v>
      </c>
      <c r="E515" s="1" t="n">
        <v>46310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46310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42411-2023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45180</v>
      </c>
      <c r="E517" s="1" t="n">
        <v>46310</v>
      </c>
      <c r="F517" t="inlineStr">
        <is>
          <t>KRONOBERGS LÄN</t>
        </is>
      </c>
      <c r="G517" t="inlineStr">
        <is>
          <t>ALVESTA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46310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45385</v>
      </c>
      <c r="E519" s="1" t="n">
        <v>46310</v>
      </c>
      <c r="F519" t="inlineStr">
        <is>
          <t>KRONOBERGS LÄN</t>
        </is>
      </c>
      <c r="G519" t="inlineStr">
        <is>
          <t>ALVESTA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45358</v>
      </c>
      <c r="E520" s="1" t="n">
        <v>46310</v>
      </c>
      <c r="F520" t="inlineStr">
        <is>
          <t>KRONOBERGS LÄN</t>
        </is>
      </c>
      <c r="G520" t="inlineStr">
        <is>
          <t>ALVESTA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44925</v>
      </c>
      <c r="E521" s="1" t="n">
        <v>46310</v>
      </c>
      <c r="F521" t="inlineStr">
        <is>
          <t>KRONOBERGS LÄN</t>
        </is>
      </c>
      <c r="G521" t="inlineStr">
        <is>
          <t>ALVESTA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45302</v>
      </c>
      <c r="E522" s="1" t="n">
        <v>46310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46310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46310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46310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46310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46310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46310</v>
      </c>
      <c r="F528" t="inlineStr">
        <is>
          <t>KRONOBERGS LÄN</t>
        </is>
      </c>
      <c r="G528" t="inlineStr">
        <is>
          <t>ALVESTA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45032</v>
      </c>
      <c r="E529" s="1" t="n">
        <v>46310</v>
      </c>
      <c r="F529" t="inlineStr">
        <is>
          <t>KRONOBERGS LÄN</t>
        </is>
      </c>
      <c r="G529" t="inlineStr">
        <is>
          <t>ALVESTA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46310</v>
      </c>
      <c r="F530" t="inlineStr">
        <is>
          <t>KRONOBERGS LÄN</t>
        </is>
      </c>
      <c r="G530" t="inlineStr">
        <is>
          <t>ALVESTA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46310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46310</v>
      </c>
      <c r="F532" t="inlineStr">
        <is>
          <t>KRONOBERGS LÄN</t>
        </is>
      </c>
      <c r="G532" t="inlineStr">
        <is>
          <t>ALVESTA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46310</v>
      </c>
      <c r="F533" t="inlineStr">
        <is>
          <t>KRONOBERGS LÄN</t>
        </is>
      </c>
      <c r="G533" t="inlineStr">
        <is>
          <t>ALVESTA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39405-2026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46288</v>
      </c>
      <c r="E534" s="1" t="n">
        <v>46310</v>
      </c>
      <c r="F534" t="inlineStr">
        <is>
          <t>KRONOBERGS LÄN</t>
        </is>
      </c>
      <c r="G534" t="inlineStr">
        <is>
          <t>ALVESTA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46310</v>
      </c>
      <c r="F535" t="inlineStr">
        <is>
          <t>KRONOBERGS LÄN</t>
        </is>
      </c>
      <c r="G535" t="inlineStr">
        <is>
          <t>ALVESTA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45217</v>
      </c>
      <c r="E536" s="1" t="n">
        <v>46310</v>
      </c>
      <c r="F536" t="inlineStr">
        <is>
          <t>KRONOBERGS LÄN</t>
        </is>
      </c>
      <c r="G536" t="inlineStr">
        <is>
          <t>ALVESTA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45128</v>
      </c>
      <c r="E537" s="1" t="n">
        <v>46310</v>
      </c>
      <c r="F537" t="inlineStr">
        <is>
          <t>KRONOBERGS LÄN</t>
        </is>
      </c>
      <c r="G537" t="inlineStr">
        <is>
          <t>ALVESTA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46310</v>
      </c>
      <c r="F538" t="inlineStr">
        <is>
          <t>KRONOBERGS LÄN</t>
        </is>
      </c>
      <c r="G538" t="inlineStr">
        <is>
          <t>ALVESTA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46310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44747</v>
      </c>
      <c r="E540" s="1" t="n">
        <v>46310</v>
      </c>
      <c r="F540" t="inlineStr">
        <is>
          <t>KRONOBERGS LÄN</t>
        </is>
      </c>
      <c r="G540" t="inlineStr">
        <is>
          <t>ALVESTA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8781-2023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44978</v>
      </c>
      <c r="E541" s="1" t="n">
        <v>46310</v>
      </c>
      <c r="F541" t="inlineStr">
        <is>
          <t>KRONOBERGS LÄN</t>
        </is>
      </c>
      <c r="G541" t="inlineStr">
        <is>
          <t>ALVESTA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46310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46310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46310</v>
      </c>
      <c r="F544" t="inlineStr">
        <is>
          <t>KRONOBERGS LÄN</t>
        </is>
      </c>
      <c r="G544" t="inlineStr">
        <is>
          <t>ALVESTA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45329</v>
      </c>
      <c r="E545" s="1" t="n">
        <v>46310</v>
      </c>
      <c r="F545" t="inlineStr">
        <is>
          <t>KRONOBERGS LÄN</t>
        </is>
      </c>
      <c r="G545" t="inlineStr">
        <is>
          <t>ALVESTA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46310</v>
      </c>
      <c r="F546" t="inlineStr">
        <is>
          <t>KRONOBERGS LÄN</t>
        </is>
      </c>
      <c r="G546" t="inlineStr">
        <is>
          <t>ALVESTA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45136</v>
      </c>
      <c r="E547" s="1" t="n">
        <v>46310</v>
      </c>
      <c r="F547" t="inlineStr">
        <is>
          <t>KRONOBERGS LÄN</t>
        </is>
      </c>
      <c r="G547" t="inlineStr">
        <is>
          <t>ALVESTA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45436</v>
      </c>
      <c r="E548" s="1" t="n">
        <v>46310</v>
      </c>
      <c r="F548" t="inlineStr">
        <is>
          <t>KRONOBERGS LÄN</t>
        </is>
      </c>
      <c r="G548" t="inlineStr">
        <is>
          <t>ALVESTA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46310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40566-2024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45555</v>
      </c>
      <c r="E550" s="1" t="n">
        <v>46310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42467-2024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45565</v>
      </c>
      <c r="E551" s="1" t="n">
        <v>46310</v>
      </c>
      <c r="F551" t="inlineStr">
        <is>
          <t>KRONOBERGS LÄN</t>
        </is>
      </c>
      <c r="G551" t="inlineStr">
        <is>
          <t>ALVESTA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49407-2024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46310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46310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33946-2026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46252</v>
      </c>
      <c r="E554" s="1" t="n">
        <v>46310</v>
      </c>
      <c r="F554" t="inlineStr">
        <is>
          <t>KRONOBERGS LÄN</t>
        </is>
      </c>
      <c r="G554" t="inlineStr">
        <is>
          <t>ALVESTA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45146</v>
      </c>
      <c r="E555" s="1" t="n">
        <v>46310</v>
      </c>
      <c r="F555" t="inlineStr">
        <is>
          <t>KRONOBERGS LÄN</t>
        </is>
      </c>
      <c r="G555" t="inlineStr">
        <is>
          <t>ALVESTA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45330</v>
      </c>
      <c r="E556" s="1" t="n">
        <v>46310</v>
      </c>
      <c r="F556" t="inlineStr">
        <is>
          <t>KRONOBERGS LÄN</t>
        </is>
      </c>
      <c r="G556" t="inlineStr">
        <is>
          <t>ALVESTA</t>
        </is>
      </c>
      <c r="H556" t="inlineStr">
        <is>
          <t>Övriga Aktiebolag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44735</v>
      </c>
      <c r="E557" s="1" t="n">
        <v>46310</v>
      </c>
      <c r="F557" t="inlineStr">
        <is>
          <t>KRONOBERGS LÄN</t>
        </is>
      </c>
      <c r="G557" t="inlineStr">
        <is>
          <t>ALVESTA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45618</v>
      </c>
      <c r="E558" s="1" t="n">
        <v>46310</v>
      </c>
      <c r="F558" t="inlineStr">
        <is>
          <t>KRONOBERGS LÄN</t>
        </is>
      </c>
      <c r="G558" t="inlineStr">
        <is>
          <t>ALVESTA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45608</v>
      </c>
      <c r="E559" s="1" t="n">
        <v>46310</v>
      </c>
      <c r="F559" t="inlineStr">
        <is>
          <t>KRONOBERGS LÄN</t>
        </is>
      </c>
      <c r="G559" t="inlineStr">
        <is>
          <t>ALVESTA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6815-2024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45342</v>
      </c>
      <c r="E560" s="1" t="n">
        <v>46310</v>
      </c>
      <c r="F560" t="inlineStr">
        <is>
          <t>KRONOBERGS LÄN</t>
        </is>
      </c>
      <c r="G560" t="inlineStr">
        <is>
          <t>ALVESTA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44895</v>
      </c>
      <c r="E561" s="1" t="n">
        <v>46310</v>
      </c>
      <c r="F561" t="inlineStr">
        <is>
          <t>KRONOBERGS LÄN</t>
        </is>
      </c>
      <c r="G561" t="inlineStr">
        <is>
          <t>ALVESTA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46297</v>
      </c>
      <c r="E562" s="1" t="n">
        <v>46310</v>
      </c>
      <c r="F562" t="inlineStr">
        <is>
          <t>KRONOBERGS LÄN</t>
        </is>
      </c>
      <c r="G562" t="inlineStr">
        <is>
          <t>ALVESTA</t>
        </is>
      </c>
      <c r="H562" t="inlineStr">
        <is>
          <t>Övriga Aktiebolag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45519</v>
      </c>
      <c r="E563" s="1" t="n">
        <v>46310</v>
      </c>
      <c r="F563" t="inlineStr">
        <is>
          <t>KRONOBERGS LÄN</t>
        </is>
      </c>
      <c r="G563" t="inlineStr">
        <is>
          <t>ALVESTA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46310</v>
      </c>
      <c r="F564" t="inlineStr">
        <is>
          <t>KRONOBERGS LÄN</t>
        </is>
      </c>
      <c r="G564" t="inlineStr">
        <is>
          <t>ALVESTA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45336</v>
      </c>
      <c r="E565" s="1" t="n">
        <v>46310</v>
      </c>
      <c r="F565" t="inlineStr">
        <is>
          <t>KRONOBERGS LÄN</t>
        </is>
      </c>
      <c r="G565" t="inlineStr">
        <is>
          <t>ALVESTA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40836-2026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46296</v>
      </c>
      <c r="E566" s="1" t="n">
        <v>46310</v>
      </c>
      <c r="F566" t="inlineStr">
        <is>
          <t>KRONOBERGS LÄN</t>
        </is>
      </c>
      <c r="G566" t="inlineStr">
        <is>
          <t>ALVESTA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72318-2021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44545</v>
      </c>
      <c r="E567" s="1" t="n">
        <v>46310</v>
      </c>
      <c r="F567" t="inlineStr">
        <is>
          <t>KRONOBERGS LÄN</t>
        </is>
      </c>
      <c r="G567" t="inlineStr">
        <is>
          <t>ALVESTA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45153</v>
      </c>
      <c r="E568" s="1" t="n">
        <v>46310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45153</v>
      </c>
      <c r="E569" s="1" t="n">
        <v>46310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46310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46310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45398</v>
      </c>
      <c r="E572" s="1" t="n">
        <v>46310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59340-2025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45989</v>
      </c>
      <c r="E573" s="1" t="n">
        <v>46310</v>
      </c>
      <c r="F573" t="inlineStr">
        <is>
          <t>KRONOBERGS LÄN</t>
        </is>
      </c>
      <c r="G573" t="inlineStr">
        <is>
          <t>ALVESTA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41054-2026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46300</v>
      </c>
      <c r="E574" s="1" t="n">
        <v>46310</v>
      </c>
      <c r="F574" t="inlineStr">
        <is>
          <t>KRONOBERGS LÄN</t>
        </is>
      </c>
      <c r="G574" t="inlineStr">
        <is>
          <t>ALVESTA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46310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46310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46310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46310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34968-2026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46259</v>
      </c>
      <c r="E579" s="1" t="n">
        <v>46310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45447</v>
      </c>
      <c r="E580" s="1" t="n">
        <v>46310</v>
      </c>
      <c r="F580" t="inlineStr">
        <is>
          <t>KRONOBERGS LÄN</t>
        </is>
      </c>
      <c r="G580" t="inlineStr">
        <is>
          <t>ALVESTA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45328</v>
      </c>
      <c r="E581" s="1" t="n">
        <v>46310</v>
      </c>
      <c r="F581" t="inlineStr">
        <is>
          <t>KRONOBERGS LÄN</t>
        </is>
      </c>
      <c r="G581" t="inlineStr">
        <is>
          <t>ALVESTA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12804-2026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46092</v>
      </c>
      <c r="E582" s="1" t="n">
        <v>46310</v>
      </c>
      <c r="F582" t="inlineStr">
        <is>
          <t>KRONOBERGS LÄN</t>
        </is>
      </c>
      <c r="G582" t="inlineStr">
        <is>
          <t>ALVESTA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46310</v>
      </c>
      <c r="F583" t="inlineStr">
        <is>
          <t>KRONOBERGS LÄN</t>
        </is>
      </c>
      <c r="G583" t="inlineStr">
        <is>
          <t>ALVESTA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46302</v>
      </c>
      <c r="E584" s="1" t="n">
        <v>46310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46303</v>
      </c>
      <c r="E585" s="1" t="n">
        <v>46310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46310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46303</v>
      </c>
      <c r="E587" s="1" t="n">
        <v>46310</v>
      </c>
      <c r="F587" t="inlineStr">
        <is>
          <t>KRONOBERGS LÄN</t>
        </is>
      </c>
      <c r="G587" t="inlineStr">
        <is>
          <t>ALVESTA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65094-2023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45288</v>
      </c>
      <c r="E588" s="1" t="n">
        <v>46310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46310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46310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8671-2025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45712</v>
      </c>
      <c r="E591" s="1" t="n">
        <v>46310</v>
      </c>
      <c r="F591" t="inlineStr">
        <is>
          <t>KRONOBERGS LÄN</t>
        </is>
      </c>
      <c r="G591" t="inlineStr">
        <is>
          <t>ALVESTA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39501-2024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46310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45385</v>
      </c>
      <c r="E593" s="1" t="n">
        <v>46310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46310</v>
      </c>
      <c r="F594" t="inlineStr">
        <is>
          <t>KRONOBERGS LÄN</t>
        </is>
      </c>
      <c r="G594" t="inlineStr">
        <is>
          <t>ALVESTA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46310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45700</v>
      </c>
      <c r="E596" s="1" t="n">
        <v>46310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54116-2024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45616</v>
      </c>
      <c r="E597" s="1" t="n">
        <v>46310</v>
      </c>
      <c r="F597" t="inlineStr">
        <is>
          <t>KRONOBERGS LÄN</t>
        </is>
      </c>
      <c r="G597" t="inlineStr">
        <is>
          <t>ALVESTA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46310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46310</v>
      </c>
      <c r="F599" t="inlineStr">
        <is>
          <t>KRONOBERGS LÄN</t>
        </is>
      </c>
      <c r="G599" t="inlineStr">
        <is>
          <t>ALVESTA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42697-2026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46309</v>
      </c>
      <c r="E600" s="1" t="n">
        <v>46310</v>
      </c>
      <c r="F600" t="inlineStr">
        <is>
          <t>KRONOBERGS LÄN</t>
        </is>
      </c>
      <c r="G600" t="inlineStr">
        <is>
          <t>ALVESTA</t>
        </is>
      </c>
      <c r="H600" t="inlineStr">
        <is>
          <t>Kommuner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46310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46310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45363</v>
      </c>
      <c r="E603" s="1" t="n">
        <v>46310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45705</v>
      </c>
      <c r="E604" s="1" t="n">
        <v>46310</v>
      </c>
      <c r="F604" t="inlineStr">
        <is>
          <t>KRONOBERGS LÄN</t>
        </is>
      </c>
      <c r="G604" t="inlineStr">
        <is>
          <t>ALVESTA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46310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46310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46310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46310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46310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46310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46310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46310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46310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46310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46310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46310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46310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46310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46310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46310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46310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46310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46310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46310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46310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46310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46310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46310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46310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46310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46310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46310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46310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46310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46310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46310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46310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46310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46310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2026-10-15T02:07:03Z</dcterms:created>
  <dcterms:modified xmlns:dcterms="http://purl.org/dc/terms/" xmlns:xsi="http://www.w3.org/2001/XMLSchema-instance" xsi:type="dcterms:W3CDTF">2026-10-15T02:07:04Z</dcterms:modified>
</cp:coreProperties>
</file>