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46266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46266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46266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46266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46266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46266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46266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28740-2024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45478</v>
      </c>
      <c r="E22" s="1" t="n">
        <v>46266</v>
      </c>
      <c r="F22" t="inlineStr">
        <is>
          <t>KRONOBERGS LÄN</t>
        </is>
      </c>
      <c r="G22" t="inlineStr">
        <is>
          <t>ALVESTA</t>
        </is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Västlig hakmossa
Revlummer</t>
        </is>
      </c>
      <c r="W22">
        <f>HYPERLINK("https://klasma.github.io/Logging_0764/artfynd/A 28740-2024 artfynd.xlsx", "A 28740-2024")</f>
        <v/>
      </c>
      <c r="X22">
        <f>HYPERLINK("https://klasma.github.io/Logging_0764/kartor/A 28740-2024 karta.png", "A 28740-2024")</f>
        <v/>
      </c>
      <c r="Y22">
        <f>HYPERLINK("https://klasma.github.io/Logging_0764/kartor_geotiff/A 28740-2024 georefererad karta.tif", "A 28740-2024")</f>
        <v/>
      </c>
      <c r="AA22">
        <f>HYPERLINK("https://klasma.github.io/Logging_0764/klagomål/A 28740-2024 FSC-klagomål.docx", "A 28740-2024")</f>
        <v/>
      </c>
      <c r="AB22">
        <f>HYPERLINK("https://klasma.github.io/Logging_0764/klagomålsmail/A 28740-2024 FSC-klagomål mail.docx", "A 28740-2024")</f>
        <v/>
      </c>
      <c r="AC22">
        <f>HYPERLINK("https://klasma.github.io/Logging_0764/tillsyn/A 28740-2024 tillsynsbegäran.docx", "A 28740-2024")</f>
        <v/>
      </c>
      <c r="AD22">
        <f>HYPERLINK("https://klasma.github.io/Logging_0764/tillsynsmail/A 28740-2024 tillsynsbegäran mail.docx", "A 28740-2024")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46266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46266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46266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46266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46266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46266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46266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46266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46266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46266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1811-2025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45670</v>
      </c>
      <c r="E33" s="1" t="n">
        <v>46266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Spillkråka</t>
        </is>
      </c>
      <c r="W33">
        <f>HYPERLINK("https://klasma.github.io/Logging_0764/artfynd/A 1811-2025 artfynd.xlsx", "A 1811-2025")</f>
        <v/>
      </c>
      <c r="X33">
        <f>HYPERLINK("https://klasma.github.io/Logging_0764/kartor/A 1811-2025 karta.png", "A 1811-2025")</f>
        <v/>
      </c>
      <c r="Y33">
        <f>HYPERLINK("https://klasma.github.io/Logging_0764/kartor_geotiff/A 1811-2025 georefererad karta.tif", "A 1811-2025")</f>
        <v/>
      </c>
      <c r="AA33">
        <f>HYPERLINK("https://klasma.github.io/Logging_0764/klagomål/A 1811-2025 FSC-klagomål.docx", "A 1811-2025")</f>
        <v/>
      </c>
      <c r="AB33">
        <f>HYPERLINK("https://klasma.github.io/Logging_0764/klagomålsmail/A 1811-2025 FSC-klagomål mail.docx", "A 1811-2025")</f>
        <v/>
      </c>
      <c r="AC33">
        <f>HYPERLINK("https://klasma.github.io/Logging_0764/tillsyn/A 1811-2025 tillsynsbegäran.docx", "A 1811-2025")</f>
        <v/>
      </c>
      <c r="AD33">
        <f>HYPERLINK("https://klasma.github.io/Logging_0764/tillsynsmail/A 1811-2025 tillsynsbegäran mail.docx", "A 1811-2025")</f>
        <v/>
      </c>
      <c r="AE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46266</v>
      </c>
      <c r="F34" t="inlineStr">
        <is>
          <t>KRONOBERGS LÄN</t>
        </is>
      </c>
      <c r="G34" t="inlineStr">
        <is>
          <t>ALVESTA</t>
        </is>
      </c>
      <c r="I34" t="n">
        <v>1.1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44406-2024 artfynd.xlsx", "A 44406-2024")</f>
        <v/>
      </c>
      <c r="X34">
        <f>HYPERLINK("https://klasma.github.io/Logging_0764/kartor/A 44406-2024 karta.png", "A 44406-2024")</f>
        <v/>
      </c>
      <c r="Y34">
        <f>HYPERLINK("https://klasma.github.io/Logging_0764/kartor_geotiff/A 44406-2024 georefererad karta.tif", "A 44406-2024")</f>
        <v/>
      </c>
      <c r="AA34">
        <f>HYPERLINK("https://klasma.github.io/Logging_0764/klagomål/A 44406-2024 FSC-klagomål.docx", "A 44406-2024")</f>
        <v/>
      </c>
      <c r="AB34">
        <f>HYPERLINK("https://klasma.github.io/Logging_0764/klagomålsmail/A 44406-2024 FSC-klagomål mail.docx", "A 44406-2024")</f>
        <v/>
      </c>
      <c r="AC34">
        <f>HYPERLINK("https://klasma.github.io/Logging_0764/tillsyn/A 44406-2024 tillsynsbegäran.docx", "A 44406-2024")</f>
        <v/>
      </c>
      <c r="AD34">
        <f>HYPERLINK("https://klasma.github.io/Logging_0764/tillsynsmail/A 44406-2024 tillsynsbegäran mail.docx", "A 44406-2024")</f>
        <v/>
      </c>
    </row>
    <row r="35" ht="15" customHeight="1">
      <c r="A35" t="inlineStr">
        <is>
          <t>A 37608-2022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46266</v>
      </c>
      <c r="F35" t="inlineStr">
        <is>
          <t>KRONOBERGS LÄN</t>
        </is>
      </c>
      <c r="G35" t="inlineStr">
        <is>
          <t>ALVESTA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Gropticka</t>
        </is>
      </c>
      <c r="W35">
        <f>HYPERLINK("https://klasma.github.io/Logging_0764/artfynd/A 37608-2022 artfynd.xlsx", "A 37608-2022")</f>
        <v/>
      </c>
      <c r="X35">
        <f>HYPERLINK("https://klasma.github.io/Logging_0764/kartor/A 37608-2022 karta.png", "A 37608-2022")</f>
        <v/>
      </c>
      <c r="Y35">
        <f>HYPERLINK("https://klasma.github.io/Logging_0764/kartor_geotiff/A 37608-2022 georefererad karta.tif", "A 37608-2022")</f>
        <v/>
      </c>
      <c r="AA35">
        <f>HYPERLINK("https://klasma.github.io/Logging_0764/klagomål/A 37608-2022 FSC-klagomål.docx", "A 37608-2022")</f>
        <v/>
      </c>
      <c r="AB35">
        <f>HYPERLINK("https://klasma.github.io/Logging_0764/klagomålsmail/A 37608-2022 FSC-klagomål mail.docx", "A 37608-2022")</f>
        <v/>
      </c>
      <c r="AC35">
        <f>HYPERLINK("https://klasma.github.io/Logging_0764/tillsyn/A 37608-2022 tillsynsbegäran.docx", "A 37608-2022")</f>
        <v/>
      </c>
      <c r="AD35">
        <f>HYPERLINK("https://klasma.github.io/Logging_0764/tillsynsmail/A 37608-2022 tillsynsbegäran mail.docx", "A 37608-2022")</f>
        <v/>
      </c>
    </row>
    <row r="36" ht="15" customHeight="1">
      <c r="A36" t="inlineStr">
        <is>
          <t>A 11669-2024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46266</v>
      </c>
      <c r="F36" t="inlineStr">
        <is>
          <t>KRONOBERGS LÄN</t>
        </is>
      </c>
      <c r="G36" t="inlineStr">
        <is>
          <t>ALVESTA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Skuggmossa</t>
        </is>
      </c>
      <c r="W36">
        <f>HYPERLINK("https://klasma.github.io/Logging_0764/artfynd/A 11669-2024 artfynd.xlsx", "A 11669-2024")</f>
        <v/>
      </c>
      <c r="X36">
        <f>HYPERLINK("https://klasma.github.io/Logging_0764/kartor/A 11669-2024 karta.png", "A 11669-2024")</f>
        <v/>
      </c>
      <c r="Y36">
        <f>HYPERLINK("https://klasma.github.io/Logging_0764/kartor_geotiff/A 11669-2024 georefererad karta.tif", "A 11669-2024")</f>
        <v/>
      </c>
      <c r="AA36">
        <f>HYPERLINK("https://klasma.github.io/Logging_0764/klagomål/A 11669-2024 FSC-klagomål.docx", "A 11669-2024")</f>
        <v/>
      </c>
      <c r="AB36">
        <f>HYPERLINK("https://klasma.github.io/Logging_0764/klagomålsmail/A 11669-2024 FSC-klagomål mail.docx", "A 11669-2024")</f>
        <v/>
      </c>
      <c r="AC36">
        <f>HYPERLINK("https://klasma.github.io/Logging_0764/tillsyn/A 11669-2024 tillsynsbegäran.docx", "A 11669-2024")</f>
        <v/>
      </c>
      <c r="AD36">
        <f>HYPERLINK("https://klasma.github.io/Logging_0764/tillsynsmail/A 11669-2024 tillsynsbegäran mail.docx", "A 11669-2024")</f>
        <v/>
      </c>
    </row>
    <row r="37" ht="15" customHeight="1">
      <c r="A37" t="inlineStr">
        <is>
          <t>A 29382-2023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46266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29382-2023 artfynd.xlsx", "A 29382-2023")</f>
        <v/>
      </c>
      <c r="X37">
        <f>HYPERLINK("https://klasma.github.io/Logging_0764/kartor/A 29382-2023 karta.png", "A 29382-2023")</f>
        <v/>
      </c>
      <c r="Y37">
        <f>HYPERLINK("https://klasma.github.io/Logging_0764/kartor_geotiff/A 29382-2023 georefererad karta.tif", "A 29382-2023")</f>
        <v/>
      </c>
      <c r="AA37">
        <f>HYPERLINK("https://klasma.github.io/Logging_0764/klagomål/A 29382-2023 FSC-klagomål.docx", "A 29382-2023")</f>
        <v/>
      </c>
      <c r="AB37">
        <f>HYPERLINK("https://klasma.github.io/Logging_0764/klagomålsmail/A 29382-2023 FSC-klagomål mail.docx", "A 29382-2023")</f>
        <v/>
      </c>
      <c r="AC37">
        <f>HYPERLINK("https://klasma.github.io/Logging_0764/tillsyn/A 29382-2023 tillsynsbegäran.docx", "A 29382-2023")</f>
        <v/>
      </c>
      <c r="AD37">
        <f>HYPERLINK("https://klasma.github.io/Logging_0764/tillsynsmail/A 29382-2023 tillsynsbegäran mail.docx", "A 29382-2023")</f>
        <v/>
      </c>
    </row>
    <row r="38" ht="15" customHeight="1">
      <c r="A38" t="inlineStr">
        <is>
          <t>A 12221-2024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46266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Brandticka</t>
        </is>
      </c>
      <c r="W38">
        <f>HYPERLINK("https://klasma.github.io/Logging_0764/artfynd/A 12221-2024 artfynd.xlsx", "A 12221-2024")</f>
        <v/>
      </c>
      <c r="X38">
        <f>HYPERLINK("https://klasma.github.io/Logging_0764/kartor/A 12221-2024 karta.png", "A 12221-2024")</f>
        <v/>
      </c>
      <c r="Y38">
        <f>HYPERLINK("https://klasma.github.io/Logging_0764/kartor_geotiff/A 12221-2024 georefererad karta.tif", "A 12221-2024")</f>
        <v/>
      </c>
      <c r="AA38">
        <f>HYPERLINK("https://klasma.github.io/Logging_0764/klagomål/A 12221-2024 FSC-klagomål.docx", "A 12221-2024")</f>
        <v/>
      </c>
      <c r="AB38">
        <f>HYPERLINK("https://klasma.github.io/Logging_0764/klagomålsmail/A 12221-2024 FSC-klagomål mail.docx", "A 12221-2024")</f>
        <v/>
      </c>
      <c r="AC38">
        <f>HYPERLINK("https://klasma.github.io/Logging_0764/tillsyn/A 12221-2024 tillsynsbegäran.docx", "A 12221-2024")</f>
        <v/>
      </c>
      <c r="AD38">
        <f>HYPERLINK("https://klasma.github.io/Logging_0764/tillsynsmail/A 12221-2024 tillsynsbegäran mail.docx", "A 12221-2024")</f>
        <v/>
      </c>
    </row>
    <row r="39" ht="15" customHeight="1">
      <c r="A39" t="inlineStr">
        <is>
          <t>A 38890-2024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46266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Hårklomossa</t>
        </is>
      </c>
      <c r="W39">
        <f>HYPERLINK("https://klasma.github.io/Logging_0764/artfynd/A 38890-2024 artfynd.xlsx", "A 38890-2024")</f>
        <v/>
      </c>
      <c r="X39">
        <f>HYPERLINK("https://klasma.github.io/Logging_0764/kartor/A 38890-2024 karta.png", "A 38890-2024")</f>
        <v/>
      </c>
      <c r="Y39">
        <f>HYPERLINK("https://klasma.github.io/Logging_0764/kartor_geotiff/A 38890-2024 georefererad karta.tif", "A 38890-2024")</f>
        <v/>
      </c>
      <c r="AA39">
        <f>HYPERLINK("https://klasma.github.io/Logging_0764/klagomål/A 38890-2024 FSC-klagomål.docx", "A 38890-2024")</f>
        <v/>
      </c>
      <c r="AB39">
        <f>HYPERLINK("https://klasma.github.io/Logging_0764/klagomålsmail/A 38890-2024 FSC-klagomål mail.docx", "A 38890-2024")</f>
        <v/>
      </c>
      <c r="AC39">
        <f>HYPERLINK("https://klasma.github.io/Logging_0764/tillsyn/A 38890-2024 tillsynsbegäran.docx", "A 38890-2024")</f>
        <v/>
      </c>
      <c r="AD39">
        <f>HYPERLINK("https://klasma.github.io/Logging_0764/tillsynsmail/A 38890-2024 tillsynsbegäran mail.docx", "A 38890-2024")</f>
        <v/>
      </c>
    </row>
    <row r="40" ht="15" customHeight="1">
      <c r="A40" t="inlineStr">
        <is>
          <t>A 35279-2022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44798</v>
      </c>
      <c r="E40" s="1" t="n">
        <v>46266</v>
      </c>
      <c r="F40" t="inlineStr">
        <is>
          <t>KRONOBERGS LÄN</t>
        </is>
      </c>
      <c r="G40" t="inlineStr">
        <is>
          <t>ALVESTA</t>
        </is>
      </c>
      <c r="H40" t="inlineStr">
        <is>
          <t>Kyrkan</t>
        </is>
      </c>
      <c r="I40" t="n">
        <v>3.8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Knärot</t>
        </is>
      </c>
      <c r="W40">
        <f>HYPERLINK("https://klasma.github.io/Logging_0764/artfynd/A 35279-2022 artfynd.xlsx", "A 35279-2022")</f>
        <v/>
      </c>
      <c r="X40">
        <f>HYPERLINK("https://klasma.github.io/Logging_0764/kartor/A 35279-2022 karta.png", "A 35279-2022")</f>
        <v/>
      </c>
      <c r="Y40">
        <f>HYPERLINK("https://klasma.github.io/Logging_0764/kartor_geotiff/A 35279-2022 georefererad karta.tif", "A 35279-2022")</f>
        <v/>
      </c>
      <c r="Z40">
        <f>HYPERLINK("https://klasma.github.io/Logging_0764/knärot/A 35279-2022 karta knärot.png", "A 35279-2022")</f>
        <v/>
      </c>
      <c r="AA40">
        <f>HYPERLINK("https://klasma.github.io/Logging_0764/klagomål/A 35279-2022 FSC-klagomål.docx", "A 35279-2022")</f>
        <v/>
      </c>
      <c r="AB40">
        <f>HYPERLINK("https://klasma.github.io/Logging_0764/klagomålsmail/A 35279-2022 FSC-klagomål mail.docx", "A 35279-2022")</f>
        <v/>
      </c>
      <c r="AC40">
        <f>HYPERLINK("https://klasma.github.io/Logging_0764/tillsyn/A 35279-2022 tillsynsbegäran.docx", "A 35279-2022")</f>
        <v/>
      </c>
      <c r="AD40">
        <f>HYPERLINK("https://klasma.github.io/Logging_0764/tillsynsmail/A 35279-2022 tillsynsbegäran mail.docx", "A 35279-2022")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46266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46266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47338-2022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46266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HYPERLINK("https://klasma.github.io/Logging_0764/artfynd/A 47338-2022 artfynd.xlsx", "A 47338-2022")</f>
        <v/>
      </c>
      <c r="X43">
        <f>HYPERLINK("https://klasma.github.io/Logging_0764/kartor/A 47338-2022 karta.png", "A 47338-2022")</f>
        <v/>
      </c>
      <c r="Y43">
        <f>HYPERLINK("https://klasma.github.io/Logging_0764/kartor_geotiff/A 47338-2022 georefererad karta.tif", "A 47338-2022")</f>
        <v/>
      </c>
      <c r="AA43">
        <f>HYPERLINK("https://klasma.github.io/Logging_0764/klagomål/A 47338-2022 FSC-klagomål.docx", "A 47338-2022")</f>
        <v/>
      </c>
      <c r="AB43">
        <f>HYPERLINK("https://klasma.github.io/Logging_0764/klagomålsmail/A 47338-2022 FSC-klagomål mail.docx", "A 47338-2022")</f>
        <v/>
      </c>
      <c r="AC43">
        <f>HYPERLINK("https://klasma.github.io/Logging_0764/tillsyn/A 47338-2022 tillsynsbegäran.docx", "A 47338-2022")</f>
        <v/>
      </c>
      <c r="AD43">
        <f>HYPERLINK("https://klasma.github.io/Logging_0764/tillsynsmail/A 47338-2022 tillsynsbegäran mail.docx", "A 47338-2022")</f>
        <v/>
      </c>
      <c r="AE43">
        <f>HYPERLINK("https://klasma.github.io/Logging_0764/fåglar/A 47338-2022 prioriterade fågelarter.docx", "A 47338-2022")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46266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46266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46266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50486-2021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46266</v>
      </c>
      <c r="F47" t="inlineStr">
        <is>
          <t>KRONOBERGS LÄN</t>
        </is>
      </c>
      <c r="G47" t="inlineStr">
        <is>
          <t>ALVESTA</t>
        </is>
      </c>
      <c r="I47" t="n">
        <v>9.1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Västlig hakmossa</t>
        </is>
      </c>
      <c r="W47">
        <f>HYPERLINK("https://klasma.github.io/Logging_0764/artfynd/A 50486-2021 artfynd.xlsx", "A 50486-2021")</f>
        <v/>
      </c>
      <c r="X47">
        <f>HYPERLINK("https://klasma.github.io/Logging_0764/kartor/A 50486-2021 karta.png", "A 50486-2021")</f>
        <v/>
      </c>
      <c r="Y47">
        <f>HYPERLINK("https://klasma.github.io/Logging_0764/kartor_geotiff/A 50486-2021 georefererad karta.tif", "A 50486-2021")</f>
        <v/>
      </c>
      <c r="AA47">
        <f>HYPERLINK("https://klasma.github.io/Logging_0764/klagomål/A 50486-2021 FSC-klagomål.docx", "A 50486-2021")</f>
        <v/>
      </c>
      <c r="AB47">
        <f>HYPERLINK("https://klasma.github.io/Logging_0764/klagomålsmail/A 50486-2021 FSC-klagomål mail.docx", "A 50486-2021")</f>
        <v/>
      </c>
      <c r="AC47">
        <f>HYPERLINK("https://klasma.github.io/Logging_0764/tillsyn/A 50486-2021 tillsynsbegäran.docx", "A 50486-2021")</f>
        <v/>
      </c>
      <c r="AD47">
        <f>HYPERLINK("https://klasma.github.io/Logging_0764/tillsynsmail/A 50486-2021 tillsynsbegäran mail.docx", "A 50486-2021")</f>
        <v/>
      </c>
    </row>
    <row r="48" ht="15" customHeight="1">
      <c r="A48" t="inlineStr">
        <is>
          <t>A 43766-2023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46266</v>
      </c>
      <c r="F48" t="inlineStr">
        <is>
          <t>KRONOBERGS LÄN</t>
        </is>
      </c>
      <c r="G48" t="inlineStr">
        <is>
          <t>ALVESTA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HYPERLINK("https://klasma.github.io/Logging_0764/artfynd/A 43766-2023 artfynd.xlsx", "A 43766-2023")</f>
        <v/>
      </c>
      <c r="X48">
        <f>HYPERLINK("https://klasma.github.io/Logging_0764/kartor/A 43766-2023 karta.png", "A 43766-2023")</f>
        <v/>
      </c>
      <c r="Y48">
        <f>HYPERLINK("https://klasma.github.io/Logging_0764/kartor_geotiff/A 43766-2023 georefererad karta.tif", "A 43766-2023")</f>
        <v/>
      </c>
      <c r="AA48">
        <f>HYPERLINK("https://klasma.github.io/Logging_0764/klagomål/A 43766-2023 FSC-klagomål.docx", "A 43766-2023")</f>
        <v/>
      </c>
      <c r="AB48">
        <f>HYPERLINK("https://klasma.github.io/Logging_0764/klagomålsmail/A 43766-2023 FSC-klagomål mail.docx", "A 43766-2023")</f>
        <v/>
      </c>
      <c r="AC48">
        <f>HYPERLINK("https://klasma.github.io/Logging_0764/tillsyn/A 43766-2023 tillsynsbegäran.docx", "A 43766-2023")</f>
        <v/>
      </c>
      <c r="AD48">
        <f>HYPERLINK("https://klasma.github.io/Logging_0764/tillsynsmail/A 43766-2023 tillsynsbegäran mail.docx", "A 43766-2023")</f>
        <v/>
      </c>
    </row>
    <row r="49" ht="15" customHeight="1">
      <c r="A49" t="inlineStr">
        <is>
          <t>A 46348-2021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46266</v>
      </c>
      <c r="F49" t="inlineStr">
        <is>
          <t>KRONOBERGS LÄN</t>
        </is>
      </c>
      <c r="G49" t="inlineStr">
        <is>
          <t>ALVESTA</t>
        </is>
      </c>
      <c r="I49" t="n">
        <v>3.9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HYPERLINK("https://klasma.github.io/Logging_0764/artfynd/A 46348-2021 artfynd.xlsx", "A 46348-2021")</f>
        <v/>
      </c>
      <c r="X49">
        <f>HYPERLINK("https://klasma.github.io/Logging_0764/kartor/A 46348-2021 karta.png", "A 46348-2021")</f>
        <v/>
      </c>
      <c r="Y49">
        <f>HYPERLINK("https://klasma.github.io/Logging_0764/kartor_geotiff/A 46348-2021 georefererad karta.tif", "A 46348-2021")</f>
        <v/>
      </c>
      <c r="AA49">
        <f>HYPERLINK("https://klasma.github.io/Logging_0764/klagomål/A 46348-2021 FSC-klagomål.docx", "A 46348-2021")</f>
        <v/>
      </c>
      <c r="AB49">
        <f>HYPERLINK("https://klasma.github.io/Logging_0764/klagomålsmail/A 46348-2021 FSC-klagomål mail.docx", "A 46348-2021")</f>
        <v/>
      </c>
      <c r="AC49">
        <f>HYPERLINK("https://klasma.github.io/Logging_0764/tillsyn/A 46348-2021 tillsynsbegäran.docx", "A 46348-2021")</f>
        <v/>
      </c>
      <c r="AD49">
        <f>HYPERLINK("https://klasma.github.io/Logging_0764/tillsynsmail/A 46348-2021 tillsynsbegäran mail.docx", "A 46348-2021")</f>
        <v/>
      </c>
      <c r="AE49">
        <f>HYPERLINK("https://klasma.github.io/Logging_0764/fåglar/A 46348-2021 prioriterade fågelarter.docx", "A 46348-2021")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46266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46266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46266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46266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46266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46266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46266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46266</v>
      </c>
      <c r="F57" t="inlineStr">
        <is>
          <t>KRONOBERGS LÄN</t>
        </is>
      </c>
      <c r="G57" t="inlineStr">
        <is>
          <t>ALVESTA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46266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46266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46266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46266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46266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46266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46266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46266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46266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44461</v>
      </c>
      <c r="E68" s="1" t="n">
        <v>46266</v>
      </c>
      <c r="F68" t="inlineStr">
        <is>
          <t>KRONOBERGS LÄN</t>
        </is>
      </c>
      <c r="G68" t="inlineStr">
        <is>
          <t>ALVESTA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46266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46266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46266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46266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46266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46266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46266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46266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46266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46266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46266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46266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46266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46266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46266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46266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46266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46266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46266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46266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46266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46266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46266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46266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46266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46266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46266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46266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46266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46266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46266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46266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46266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46266</v>
      </c>
      <c r="F102" t="inlineStr">
        <is>
          <t>KRONOBERGS LÄN</t>
        </is>
      </c>
      <c r="G102" t="inlineStr">
        <is>
          <t>ALVESTA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46266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46266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46266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46266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46266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46266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46266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44592</v>
      </c>
      <c r="E110" s="1" t="n">
        <v>46266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46266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46266</v>
      </c>
      <c r="F112" t="inlineStr">
        <is>
          <t>KRONOBERGS LÄN</t>
        </is>
      </c>
      <c r="G112" t="inlineStr">
        <is>
          <t>ALVESTA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46266</v>
      </c>
      <c r="F113" t="inlineStr">
        <is>
          <t>KRONOBERGS LÄN</t>
        </is>
      </c>
      <c r="G113" t="inlineStr">
        <is>
          <t>ALVESTA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46266</v>
      </c>
      <c r="F114" t="inlineStr">
        <is>
          <t>KRONOBERGS LÄN</t>
        </is>
      </c>
      <c r="G114" t="inlineStr">
        <is>
          <t>ALVESTA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46266</v>
      </c>
      <c r="F115" t="inlineStr">
        <is>
          <t>KRONOBERGS LÄN</t>
        </is>
      </c>
      <c r="G115" t="inlineStr">
        <is>
          <t>ALVESTA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46266</v>
      </c>
      <c r="F116" t="inlineStr">
        <is>
          <t>KRONOBERGS LÄN</t>
        </is>
      </c>
      <c r="G116" t="inlineStr">
        <is>
          <t>ALVESTA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44804</v>
      </c>
      <c r="E117" s="1" t="n">
        <v>46266</v>
      </c>
      <c r="F117" t="inlineStr">
        <is>
          <t>KRONOBERGS LÄN</t>
        </is>
      </c>
      <c r="G117" t="inlineStr">
        <is>
          <t>ALVESTA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44855</v>
      </c>
      <c r="E118" s="1" t="n">
        <v>46266</v>
      </c>
      <c r="F118" t="inlineStr">
        <is>
          <t>KRONOBERGS LÄN</t>
        </is>
      </c>
      <c r="G118" t="inlineStr">
        <is>
          <t>ALVESTA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46266</v>
      </c>
      <c r="F119" t="inlineStr">
        <is>
          <t>KRONOBERGS LÄN</t>
        </is>
      </c>
      <c r="G119" t="inlineStr">
        <is>
          <t>ALVESTA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46266</v>
      </c>
      <c r="F120" t="inlineStr">
        <is>
          <t>KRONOBERGS LÄN</t>
        </is>
      </c>
      <c r="G120" t="inlineStr">
        <is>
          <t>ALVESTA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46266</v>
      </c>
      <c r="F121" t="inlineStr">
        <is>
          <t>KRONOBERGS LÄN</t>
        </is>
      </c>
      <c r="G121" t="inlineStr">
        <is>
          <t>ALVESTA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44783</v>
      </c>
      <c r="E122" s="1" t="n">
        <v>46266</v>
      </c>
      <c r="F122" t="inlineStr">
        <is>
          <t>KRONOBERGS LÄN</t>
        </is>
      </c>
      <c r="G122" t="inlineStr">
        <is>
          <t>ALVESTA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45288</v>
      </c>
      <c r="E123" s="1" t="n">
        <v>46266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44455</v>
      </c>
      <c r="E124" s="1" t="n">
        <v>46266</v>
      </c>
      <c r="F124" t="inlineStr">
        <is>
          <t>KRONOBERGS LÄN</t>
        </is>
      </c>
      <c r="G124" t="inlineStr">
        <is>
          <t>ALVESTA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46266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45338</v>
      </c>
      <c r="E126" s="1" t="n">
        <v>46266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46266</v>
      </c>
      <c r="F127" t="inlineStr">
        <is>
          <t>KRONOBERGS LÄN</t>
        </is>
      </c>
      <c r="G127" t="inlineStr">
        <is>
          <t>ALVESTA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46266</v>
      </c>
      <c r="F128" t="inlineStr">
        <is>
          <t>KRONOBERGS LÄN</t>
        </is>
      </c>
      <c r="G128" t="inlineStr">
        <is>
          <t>ALVESTA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45712</v>
      </c>
      <c r="E129" s="1" t="n">
        <v>46266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45551</v>
      </c>
      <c r="E130" s="1" t="n">
        <v>46266</v>
      </c>
      <c r="F130" t="inlineStr">
        <is>
          <t>KRONOBERGS LÄN</t>
        </is>
      </c>
      <c r="G130" t="inlineStr">
        <is>
          <t>ALVESTA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46266</v>
      </c>
      <c r="F131" t="inlineStr">
        <is>
          <t>KRONOBERGS LÄN</t>
        </is>
      </c>
      <c r="G131" t="inlineStr">
        <is>
          <t>ALVESTA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46266</v>
      </c>
      <c r="F132" t="inlineStr">
        <is>
          <t>KRONOBERGS LÄN</t>
        </is>
      </c>
      <c r="G132" t="inlineStr">
        <is>
          <t>ALVESTA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46266</v>
      </c>
      <c r="F133" t="inlineStr">
        <is>
          <t>KRONOBERGS LÄN</t>
        </is>
      </c>
      <c r="G133" t="inlineStr">
        <is>
          <t>ALVESTA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46266</v>
      </c>
      <c r="F134" t="inlineStr">
        <is>
          <t>KRONOBERGS LÄN</t>
        </is>
      </c>
      <c r="G134" t="inlineStr">
        <is>
          <t>ALVESTA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46266</v>
      </c>
      <c r="F135" t="inlineStr">
        <is>
          <t>KRONOBERGS LÄN</t>
        </is>
      </c>
      <c r="G135" t="inlineStr">
        <is>
          <t>ALVESTA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46266</v>
      </c>
      <c r="F136" t="inlineStr">
        <is>
          <t>KRONOBERGS LÄN</t>
        </is>
      </c>
      <c r="G136" t="inlineStr">
        <is>
          <t>ALVESTA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46266</v>
      </c>
      <c r="F137" t="inlineStr">
        <is>
          <t>KRONOBERGS LÄN</t>
        </is>
      </c>
      <c r="G137" t="inlineStr">
        <is>
          <t>ALVESTA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46266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44569</v>
      </c>
      <c r="E139" s="1" t="n">
        <v>46266</v>
      </c>
      <c r="F139" t="inlineStr">
        <is>
          <t>KRONOBERGS LÄN</t>
        </is>
      </c>
      <c r="G139" t="inlineStr">
        <is>
          <t>ALVESTA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46266</v>
      </c>
      <c r="F140" t="inlineStr">
        <is>
          <t>KRONOBERGS LÄN</t>
        </is>
      </c>
      <c r="G140" t="inlineStr">
        <is>
          <t>ALVESTA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44985</v>
      </c>
      <c r="E141" s="1" t="n">
        <v>46266</v>
      </c>
      <c r="F141" t="inlineStr">
        <is>
          <t>KRONOBERGS LÄN</t>
        </is>
      </c>
      <c r="G141" t="inlineStr">
        <is>
          <t>ALVESTA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46266</v>
      </c>
      <c r="F142" t="inlineStr">
        <is>
          <t>KRONOBERGS LÄN</t>
        </is>
      </c>
      <c r="G142" t="inlineStr">
        <is>
          <t>ALVESTA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46266</v>
      </c>
      <c r="F143" t="inlineStr">
        <is>
          <t>KRONOBERGS LÄN</t>
        </is>
      </c>
      <c r="G143" t="inlineStr">
        <is>
          <t>ALVESTA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46266</v>
      </c>
      <c r="F144" t="inlineStr">
        <is>
          <t>KRONOBERGS LÄN</t>
        </is>
      </c>
      <c r="G144" t="inlineStr">
        <is>
          <t>ALVESTA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46266</v>
      </c>
      <c r="F145" t="inlineStr">
        <is>
          <t>KRONOBERGS LÄN</t>
        </is>
      </c>
      <c r="G145" t="inlineStr">
        <is>
          <t>ALVESTA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46266</v>
      </c>
      <c r="F146" t="inlineStr">
        <is>
          <t>KRONOBERGS LÄN</t>
        </is>
      </c>
      <c r="G146" t="inlineStr">
        <is>
          <t>ALVESTA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45418</v>
      </c>
      <c r="E147" s="1" t="n">
        <v>46266</v>
      </c>
      <c r="F147" t="inlineStr">
        <is>
          <t>KRONOBERGS LÄN</t>
        </is>
      </c>
      <c r="G147" t="inlineStr">
        <is>
          <t>ALVESTA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46266</v>
      </c>
      <c r="F148" t="inlineStr">
        <is>
          <t>KRONOBERGS LÄN</t>
        </is>
      </c>
      <c r="G148" t="inlineStr">
        <is>
          <t>ALVESTA</t>
        </is>
      </c>
      <c r="H148" t="inlineStr">
        <is>
          <t>Kommuner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46266</v>
      </c>
      <c r="F149" t="inlineStr">
        <is>
          <t>KRONOBERGS LÄN</t>
        </is>
      </c>
      <c r="G149" t="inlineStr">
        <is>
          <t>ALVESTA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46266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46266</v>
      </c>
      <c r="F151" t="inlineStr">
        <is>
          <t>KRONOBERGS LÄN</t>
        </is>
      </c>
      <c r="G151" t="inlineStr">
        <is>
          <t>ALVESTA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45384</v>
      </c>
      <c r="E152" s="1" t="n">
        <v>46266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46266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46266</v>
      </c>
      <c r="F154" t="inlineStr">
        <is>
          <t>KRONOBERGS LÄN</t>
        </is>
      </c>
      <c r="G154" t="inlineStr">
        <is>
          <t>ALVESTA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44600</v>
      </c>
      <c r="E155" s="1" t="n">
        <v>46266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46266</v>
      </c>
      <c r="F156" t="inlineStr">
        <is>
          <t>KRONOBERGS LÄN</t>
        </is>
      </c>
      <c r="G156" t="inlineStr">
        <is>
          <t>ALVESTA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46266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46266</v>
      </c>
      <c r="F158" t="inlineStr">
        <is>
          <t>KRONOBERGS LÄN</t>
        </is>
      </c>
      <c r="G158" t="inlineStr">
        <is>
          <t>ALVESTA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46266</v>
      </c>
      <c r="F159" t="inlineStr">
        <is>
          <t>KRONOBERGS LÄN</t>
        </is>
      </c>
      <c r="G159" t="inlineStr">
        <is>
          <t>ALVESTA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46266</v>
      </c>
      <c r="F160" t="inlineStr">
        <is>
          <t>KRONOBERGS LÄN</t>
        </is>
      </c>
      <c r="G160" t="inlineStr">
        <is>
          <t>ALVESTA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44606</v>
      </c>
      <c r="E161" s="1" t="n">
        <v>46266</v>
      </c>
      <c r="F161" t="inlineStr">
        <is>
          <t>KRONOBERGS LÄN</t>
        </is>
      </c>
      <c r="G161" t="inlineStr">
        <is>
          <t>ALVESTA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18646-2022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44687</v>
      </c>
      <c r="E162" s="1" t="n">
        <v>46266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46266</v>
      </c>
      <c r="F163" t="inlineStr">
        <is>
          <t>KRONOBERGS LÄN</t>
        </is>
      </c>
      <c r="G163" t="inlineStr">
        <is>
          <t>ALVESTA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46266</v>
      </c>
      <c r="F164" t="inlineStr">
        <is>
          <t>KRONOBERGS LÄN</t>
        </is>
      </c>
      <c r="G164" t="inlineStr">
        <is>
          <t>ALVESTA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46266</v>
      </c>
      <c r="F165" t="inlineStr">
        <is>
          <t>KRONOBERGS LÄN</t>
        </is>
      </c>
      <c r="G165" t="inlineStr">
        <is>
          <t>ALVESTA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46266</v>
      </c>
      <c r="F166" t="inlineStr">
        <is>
          <t>KRONOBERGS LÄN</t>
        </is>
      </c>
      <c r="G166" t="inlineStr">
        <is>
          <t>ALVESTA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46266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46266</v>
      </c>
      <c r="F168" t="inlineStr">
        <is>
          <t>KRONOBERGS LÄN</t>
        </is>
      </c>
      <c r="G168" t="inlineStr">
        <is>
          <t>ALVESTA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46266</v>
      </c>
      <c r="F169" t="inlineStr">
        <is>
          <t>KRONOBERGS LÄN</t>
        </is>
      </c>
      <c r="G169" t="inlineStr">
        <is>
          <t>ALVESTA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44754</v>
      </c>
      <c r="E170" s="1" t="n">
        <v>46266</v>
      </c>
      <c r="F170" t="inlineStr">
        <is>
          <t>KRONOBERGS LÄN</t>
        </is>
      </c>
      <c r="G170" t="inlineStr">
        <is>
          <t>ALVESTA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45391</v>
      </c>
      <c r="E171" s="1" t="n">
        <v>46266</v>
      </c>
      <c r="F171" t="inlineStr">
        <is>
          <t>KRONOBERGS LÄN</t>
        </is>
      </c>
      <c r="G171" t="inlineStr">
        <is>
          <t>ALVESTA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45418</v>
      </c>
      <c r="E172" s="1" t="n">
        <v>46266</v>
      </c>
      <c r="F172" t="inlineStr">
        <is>
          <t>KRONOBERGS LÄN</t>
        </is>
      </c>
      <c r="G172" t="inlineStr">
        <is>
          <t>ALVESTA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45518</v>
      </c>
      <c r="E173" s="1" t="n">
        <v>46266</v>
      </c>
      <c r="F173" t="inlineStr">
        <is>
          <t>KRONOBERGS LÄN</t>
        </is>
      </c>
      <c r="G173" t="inlineStr">
        <is>
          <t>ALVESTA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46266</v>
      </c>
      <c r="F174" t="inlineStr">
        <is>
          <t>KRONOBERGS LÄN</t>
        </is>
      </c>
      <c r="G174" t="inlineStr">
        <is>
          <t>ALVESTA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46266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62969-2023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45272</v>
      </c>
      <c r="E176" s="1" t="n">
        <v>46266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25220-2025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45798</v>
      </c>
      <c r="E177" s="1" t="n">
        <v>46266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45135</v>
      </c>
      <c r="E178" s="1" t="n">
        <v>46266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46266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44601</v>
      </c>
      <c r="E180" s="1" t="n">
        <v>46266</v>
      </c>
      <c r="F180" t="inlineStr">
        <is>
          <t>KRONOBERGS LÄN</t>
        </is>
      </c>
      <c r="G180" t="inlineStr">
        <is>
          <t>ALVESTA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46266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46266</v>
      </c>
      <c r="F182" t="inlineStr">
        <is>
          <t>KRONOBERGS LÄN</t>
        </is>
      </c>
      <c r="G182" t="inlineStr">
        <is>
          <t>ALVESTA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44735</v>
      </c>
      <c r="E183" s="1" t="n">
        <v>46266</v>
      </c>
      <c r="F183" t="inlineStr">
        <is>
          <t>KRONOBERGS LÄN</t>
        </is>
      </c>
      <c r="G183" t="inlineStr">
        <is>
          <t>ALVESTA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46266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46266</v>
      </c>
      <c r="F185" t="inlineStr">
        <is>
          <t>KRONOBERGS LÄN</t>
        </is>
      </c>
      <c r="G185" t="inlineStr">
        <is>
          <t>ALVESTA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45476</v>
      </c>
      <c r="E186" s="1" t="n">
        <v>46266</v>
      </c>
      <c r="F186" t="inlineStr">
        <is>
          <t>KRONOBERGS LÄN</t>
        </is>
      </c>
      <c r="G186" t="inlineStr">
        <is>
          <t>ALVESTA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46266</v>
      </c>
      <c r="F187" t="inlineStr">
        <is>
          <t>KRONOBERGS LÄN</t>
        </is>
      </c>
      <c r="G187" t="inlineStr">
        <is>
          <t>ALVESTA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44957</v>
      </c>
      <c r="E188" s="1" t="n">
        <v>46266</v>
      </c>
      <c r="F188" t="inlineStr">
        <is>
          <t>KRONOBERGS LÄN</t>
        </is>
      </c>
      <c r="G188" t="inlineStr">
        <is>
          <t>ALVESTA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44816</v>
      </c>
      <c r="E189" s="1" t="n">
        <v>46266</v>
      </c>
      <c r="F189" t="inlineStr">
        <is>
          <t>KRONOBERGS LÄN</t>
        </is>
      </c>
      <c r="G189" t="inlineStr">
        <is>
          <t>ALVESTA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46266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59052-2021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46266</v>
      </c>
      <c r="F191" t="inlineStr">
        <is>
          <t>KRONOBERGS LÄN</t>
        </is>
      </c>
      <c r="G191" t="inlineStr">
        <is>
          <t>ALVESTA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46266</v>
      </c>
      <c r="F192" t="inlineStr">
        <is>
          <t>KRONOBERGS LÄN</t>
        </is>
      </c>
      <c r="G192" t="inlineStr">
        <is>
          <t>ALVESTA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46266</v>
      </c>
      <c r="F193" t="inlineStr">
        <is>
          <t>KRONOBERGS LÄN</t>
        </is>
      </c>
      <c r="G193" t="inlineStr">
        <is>
          <t>ALVESTA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60487-2023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45259</v>
      </c>
      <c r="E194" s="1" t="n">
        <v>46266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46266</v>
      </c>
      <c r="F195" t="inlineStr">
        <is>
          <t>KRONOBERGS LÄN</t>
        </is>
      </c>
      <c r="G195" t="inlineStr">
        <is>
          <t>ALVESTA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46266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46266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44528-2025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45916</v>
      </c>
      <c r="E198" s="1" t="n">
        <v>46266</v>
      </c>
      <c r="F198" t="inlineStr">
        <is>
          <t>KRONOBERGS LÄN</t>
        </is>
      </c>
      <c r="G198" t="inlineStr">
        <is>
          <t>ALVESTA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46266</v>
      </c>
      <c r="F199" t="inlineStr">
        <is>
          <t>KRONOBERGS LÄN</t>
        </is>
      </c>
      <c r="G199" t="inlineStr">
        <is>
          <t>ALVESTA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46266</v>
      </c>
      <c r="F200" t="inlineStr">
        <is>
          <t>KRONOBERGS LÄN</t>
        </is>
      </c>
      <c r="G200" t="inlineStr">
        <is>
          <t>ALVESTA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46266</v>
      </c>
      <c r="F201" t="inlineStr">
        <is>
          <t>KRONOBERGS LÄN</t>
        </is>
      </c>
      <c r="G201" t="inlineStr">
        <is>
          <t>ALVESTA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46266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46266</v>
      </c>
      <c r="F203" t="inlineStr">
        <is>
          <t>KRONOBERGS LÄN</t>
        </is>
      </c>
      <c r="G203" t="inlineStr">
        <is>
          <t>ALVESTA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46266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45110</v>
      </c>
      <c r="E205" s="1" t="n">
        <v>46266</v>
      </c>
      <c r="F205" t="inlineStr">
        <is>
          <t>KRONOBERGS LÄN</t>
        </is>
      </c>
      <c r="G205" t="inlineStr">
        <is>
          <t>ALVESTA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45860</v>
      </c>
      <c r="E206" s="1" t="n">
        <v>46266</v>
      </c>
      <c r="F206" t="inlineStr">
        <is>
          <t>KRONOBERGS LÄN</t>
        </is>
      </c>
      <c r="G206" t="inlineStr">
        <is>
          <t>ALVESTA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46266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46266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46266</v>
      </c>
      <c r="F209" t="inlineStr">
        <is>
          <t>KRONOBERGS LÄN</t>
        </is>
      </c>
      <c r="G209" t="inlineStr">
        <is>
          <t>ALVESTA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46266</v>
      </c>
      <c r="F210" t="inlineStr">
        <is>
          <t>KRONOBERGS LÄN</t>
        </is>
      </c>
      <c r="G210" t="inlineStr">
        <is>
          <t>ALVESTA</t>
        </is>
      </c>
      <c r="H210" t="inlineStr">
        <is>
          <t>Kommuner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46266</v>
      </c>
      <c r="F211" t="inlineStr">
        <is>
          <t>KRONOBERGS LÄN</t>
        </is>
      </c>
      <c r="G211" t="inlineStr">
        <is>
          <t>ALVESTA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46266</v>
      </c>
      <c r="F212" t="inlineStr">
        <is>
          <t>KRONOBERGS LÄN</t>
        </is>
      </c>
      <c r="G212" t="inlineStr">
        <is>
          <t>ALVESTA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44972</v>
      </c>
      <c r="E213" s="1" t="n">
        <v>46266</v>
      </c>
      <c r="F213" t="inlineStr">
        <is>
          <t>KRONOBERGS LÄN</t>
        </is>
      </c>
      <c r="G213" t="inlineStr">
        <is>
          <t>ALVESTA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44818-2024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45574</v>
      </c>
      <c r="E214" s="1" t="n">
        <v>46266</v>
      </c>
      <c r="F214" t="inlineStr">
        <is>
          <t>KRONOBERGS LÄN</t>
        </is>
      </c>
      <c r="G214" t="inlineStr">
        <is>
          <t>ALVESTA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46266</v>
      </c>
      <c r="F215" t="inlineStr">
        <is>
          <t>KRONOBERGS LÄN</t>
        </is>
      </c>
      <c r="G215" t="inlineStr">
        <is>
          <t>ALVESTA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46266</v>
      </c>
      <c r="F216" t="inlineStr">
        <is>
          <t>KRONOBERGS LÄN</t>
        </is>
      </c>
      <c r="G216" t="inlineStr">
        <is>
          <t>ALVESTA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46266</v>
      </c>
      <c r="F217" t="inlineStr">
        <is>
          <t>KRONOBERGS LÄN</t>
        </is>
      </c>
      <c r="G217" t="inlineStr">
        <is>
          <t>ALVESTA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46266</v>
      </c>
      <c r="F218" t="inlineStr">
        <is>
          <t>KRONOBERGS LÄN</t>
        </is>
      </c>
      <c r="G218" t="inlineStr">
        <is>
          <t>ALVESTA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46266</v>
      </c>
      <c r="F219" t="inlineStr">
        <is>
          <t>KRONOBERGS LÄN</t>
        </is>
      </c>
      <c r="G219" t="inlineStr">
        <is>
          <t>ALVESTA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46266</v>
      </c>
      <c r="F220" t="inlineStr">
        <is>
          <t>KRONOBERGS LÄN</t>
        </is>
      </c>
      <c r="G220" t="inlineStr">
        <is>
          <t>ALVESTA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44504</v>
      </c>
      <c r="E221" s="1" t="n">
        <v>46266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46266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46266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46266</v>
      </c>
      <c r="F224" t="inlineStr">
        <is>
          <t>KRONOBERGS LÄN</t>
        </is>
      </c>
      <c r="G224" t="inlineStr">
        <is>
          <t>ALVESTA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46266</v>
      </c>
      <c r="F225" t="inlineStr">
        <is>
          <t>KRONOBERGS LÄN</t>
        </is>
      </c>
      <c r="G225" t="inlineStr">
        <is>
          <t>ALVESTA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46266</v>
      </c>
      <c r="F226" t="inlineStr">
        <is>
          <t>KRONOBERGS LÄN</t>
        </is>
      </c>
      <c r="G226" t="inlineStr">
        <is>
          <t>ALVESTA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46266</v>
      </c>
      <c r="F227" t="inlineStr">
        <is>
          <t>KRONOBERGS LÄN</t>
        </is>
      </c>
      <c r="G227" t="inlineStr">
        <is>
          <t>ALVESTA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46266</v>
      </c>
      <c r="F228" t="inlineStr">
        <is>
          <t>KRONOBERGS LÄN</t>
        </is>
      </c>
      <c r="G228" t="inlineStr">
        <is>
          <t>ALVESTA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46266</v>
      </c>
      <c r="F229" t="inlineStr">
        <is>
          <t>KRONOBERGS LÄN</t>
        </is>
      </c>
      <c r="G229" t="inlineStr">
        <is>
          <t>ALVESTA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45229</v>
      </c>
      <c r="E230" s="1" t="n">
        <v>46266</v>
      </c>
      <c r="F230" t="inlineStr">
        <is>
          <t>KRONOBERGS LÄN</t>
        </is>
      </c>
      <c r="G230" t="inlineStr">
        <is>
          <t>ALVESTA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46266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46266</v>
      </c>
      <c r="F232" t="inlineStr">
        <is>
          <t>KRONOBERGS LÄN</t>
        </is>
      </c>
      <c r="G232" t="inlineStr">
        <is>
          <t>ALVESTA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46266</v>
      </c>
      <c r="F233" t="inlineStr">
        <is>
          <t>KRONOBERGS LÄN</t>
        </is>
      </c>
      <c r="G233" t="inlineStr">
        <is>
          <t>ALVESTA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46266</v>
      </c>
      <c r="F234" t="inlineStr">
        <is>
          <t>KRONOBERGS LÄN</t>
        </is>
      </c>
      <c r="G234" t="inlineStr">
        <is>
          <t>ALVESTA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46266</v>
      </c>
      <c r="F235" t="inlineStr">
        <is>
          <t>KRONOBERGS LÄN</t>
        </is>
      </c>
      <c r="G235" t="inlineStr">
        <is>
          <t>ALVESTA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46266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46266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44839</v>
      </c>
      <c r="E238" s="1" t="n">
        <v>46266</v>
      </c>
      <c r="F238" t="inlineStr">
        <is>
          <t>KRONOBERGS LÄN</t>
        </is>
      </c>
      <c r="G238" t="inlineStr">
        <is>
          <t>ALVESTA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46266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45385</v>
      </c>
      <c r="E240" s="1" t="n">
        <v>46266</v>
      </c>
      <c r="F240" t="inlineStr">
        <is>
          <t>KRONOBERGS LÄN</t>
        </is>
      </c>
      <c r="G240" t="inlineStr">
        <is>
          <t>ALVESTA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46266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46266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46266</v>
      </c>
      <c r="F243" t="inlineStr">
        <is>
          <t>KRONOBERGS LÄN</t>
        </is>
      </c>
      <c r="G243" t="inlineStr">
        <is>
          <t>ALVESTA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45544</v>
      </c>
      <c r="E244" s="1" t="n">
        <v>46266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57118-2023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45245</v>
      </c>
      <c r="E245" s="1" t="n">
        <v>46266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45852</v>
      </c>
      <c r="E246" s="1" t="n">
        <v>46266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46266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46266</v>
      </c>
      <c r="F248" t="inlineStr">
        <is>
          <t>KRONOBERGS LÄN</t>
        </is>
      </c>
      <c r="G248" t="inlineStr">
        <is>
          <t>ALVESTA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46266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46266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45593</v>
      </c>
      <c r="E251" s="1" t="n">
        <v>46266</v>
      </c>
      <c r="F251" t="inlineStr">
        <is>
          <t>KRONOBERGS LÄN</t>
        </is>
      </c>
      <c r="G251" t="inlineStr">
        <is>
          <t>ALVESTA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45338</v>
      </c>
      <c r="E252" s="1" t="n">
        <v>46266</v>
      </c>
      <c r="F252" t="inlineStr">
        <is>
          <t>KRONOBERGS LÄN</t>
        </is>
      </c>
      <c r="G252" t="inlineStr">
        <is>
          <t>ALVESTA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60202-2021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44495</v>
      </c>
      <c r="E253" s="1" t="n">
        <v>46266</v>
      </c>
      <c r="F253" t="inlineStr">
        <is>
          <t>KRONOBERGS LÄN</t>
        </is>
      </c>
      <c r="G253" t="inlineStr">
        <is>
          <t>ALVESTA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45338</v>
      </c>
      <c r="E254" s="1" t="n">
        <v>46266</v>
      </c>
      <c r="F254" t="inlineStr">
        <is>
          <t>KRONOBERGS LÄN</t>
        </is>
      </c>
      <c r="G254" t="inlineStr">
        <is>
          <t>ALVESTA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45345</v>
      </c>
      <c r="E255" s="1" t="n">
        <v>46266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46266</v>
      </c>
      <c r="F256" t="inlineStr">
        <is>
          <t>KRONOBERGS LÄN</t>
        </is>
      </c>
      <c r="G256" t="inlineStr">
        <is>
          <t>ALVESTA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46266</v>
      </c>
      <c r="F257" t="inlineStr">
        <is>
          <t>KRONOBERGS LÄN</t>
        </is>
      </c>
      <c r="G257" t="inlineStr">
        <is>
          <t>ALVESTA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25261-2024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45462</v>
      </c>
      <c r="E258" s="1" t="n">
        <v>46266</v>
      </c>
      <c r="F258" t="inlineStr">
        <is>
          <t>KRONOBERGS LÄN</t>
        </is>
      </c>
      <c r="G258" t="inlineStr">
        <is>
          <t>ALVESTA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45868</v>
      </c>
      <c r="E259" s="1" t="n">
        <v>46266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45467</v>
      </c>
      <c r="E260" s="1" t="n">
        <v>46266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46266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60157-2024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46266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45673</v>
      </c>
      <c r="E263" s="1" t="n">
        <v>46266</v>
      </c>
      <c r="F263" t="inlineStr">
        <is>
          <t>KRONOBERGS LÄN</t>
        </is>
      </c>
      <c r="G263" t="inlineStr">
        <is>
          <t>ALVESTA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46266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44948</v>
      </c>
      <c r="E265" s="1" t="n">
        <v>46266</v>
      </c>
      <c r="F265" t="inlineStr">
        <is>
          <t>KRONOBERGS LÄN</t>
        </is>
      </c>
      <c r="G265" t="inlineStr">
        <is>
          <t>ALVESTA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46266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46266</v>
      </c>
      <c r="F267" t="inlineStr">
        <is>
          <t>KRONOBERGS LÄN</t>
        </is>
      </c>
      <c r="G267" t="inlineStr">
        <is>
          <t>ALVESTA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46266</v>
      </c>
      <c r="F268" t="inlineStr">
        <is>
          <t>KRONOBERGS LÄN</t>
        </is>
      </c>
      <c r="G268" t="inlineStr">
        <is>
          <t>ALVESTA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46266</v>
      </c>
      <c r="F269" t="inlineStr">
        <is>
          <t>KRONOBERGS LÄN</t>
        </is>
      </c>
      <c r="G269" t="inlineStr">
        <is>
          <t>ALVESTA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37091-2025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45875</v>
      </c>
      <c r="E270" s="1" t="n">
        <v>46266</v>
      </c>
      <c r="F270" t="inlineStr">
        <is>
          <t>KRONOBERGS LÄN</t>
        </is>
      </c>
      <c r="G270" t="inlineStr">
        <is>
          <t>ALVESTA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46266</v>
      </c>
      <c r="F271" t="inlineStr">
        <is>
          <t>KRONOBERGS LÄN</t>
        </is>
      </c>
      <c r="G271" t="inlineStr">
        <is>
          <t>ALVESTA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46266</v>
      </c>
      <c r="F272" t="inlineStr">
        <is>
          <t>KRONOBERGS LÄN</t>
        </is>
      </c>
      <c r="G272" t="inlineStr">
        <is>
          <t>ALVESTA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46266</v>
      </c>
      <c r="F273" t="inlineStr">
        <is>
          <t>KRONOBERGS LÄN</t>
        </is>
      </c>
      <c r="G273" t="inlineStr">
        <is>
          <t>ALVESTA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46266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44749</v>
      </c>
      <c r="E275" s="1" t="n">
        <v>46266</v>
      </c>
      <c r="F275" t="inlineStr">
        <is>
          <t>KRONOBERGS LÄN</t>
        </is>
      </c>
      <c r="G275" t="inlineStr">
        <is>
          <t>ALVESTA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46266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40049-2022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44820</v>
      </c>
      <c r="E277" s="1" t="n">
        <v>46266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46266</v>
      </c>
      <c r="F278" t="inlineStr">
        <is>
          <t>KRONOBERGS LÄN</t>
        </is>
      </c>
      <c r="G278" t="inlineStr">
        <is>
          <t>ALVESTA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46266</v>
      </c>
      <c r="F279" t="inlineStr">
        <is>
          <t>KRONOBERGS LÄN</t>
        </is>
      </c>
      <c r="G279" t="inlineStr">
        <is>
          <t>ALVESTA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46266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46266</v>
      </c>
      <c r="F281" t="inlineStr">
        <is>
          <t>KRONOBERGS LÄN</t>
        </is>
      </c>
      <c r="G281" t="inlineStr">
        <is>
          <t>ALVESTA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46266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46266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46266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46266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46266</v>
      </c>
      <c r="F286" t="inlineStr">
        <is>
          <t>KRONOBERGS LÄN</t>
        </is>
      </c>
      <c r="G286" t="inlineStr">
        <is>
          <t>ALVESTA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46266</v>
      </c>
      <c r="F287" t="inlineStr">
        <is>
          <t>KRONOBERGS LÄN</t>
        </is>
      </c>
      <c r="G287" t="inlineStr">
        <is>
          <t>ALVESTA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50733-2023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45217</v>
      </c>
      <c r="E288" s="1" t="n">
        <v>46266</v>
      </c>
      <c r="F288" t="inlineStr">
        <is>
          <t>KRONOBERGS LÄN</t>
        </is>
      </c>
      <c r="G288" t="inlineStr">
        <is>
          <t>ALVESTA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20180-2023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46266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45128</v>
      </c>
      <c r="E290" s="1" t="n">
        <v>46266</v>
      </c>
      <c r="F290" t="inlineStr">
        <is>
          <t>KRONOBERGS LÄN</t>
        </is>
      </c>
      <c r="G290" t="inlineStr">
        <is>
          <t>ALVESTA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45447</v>
      </c>
      <c r="E291" s="1" t="n">
        <v>46266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46266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45105</v>
      </c>
      <c r="E293" s="1" t="n">
        <v>46266</v>
      </c>
      <c r="F293" t="inlineStr">
        <is>
          <t>KRONOBERGS LÄN</t>
        </is>
      </c>
      <c r="G293" t="inlineStr">
        <is>
          <t>ALVESTA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46266</v>
      </c>
      <c r="F294" t="inlineStr">
        <is>
          <t>KRONOBERGS LÄN</t>
        </is>
      </c>
      <c r="G294" t="inlineStr">
        <is>
          <t>ALVESTA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67331-2021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46266</v>
      </c>
      <c r="F295" t="inlineStr">
        <is>
          <t>KRONOBERGS LÄN</t>
        </is>
      </c>
      <c r="G295" t="inlineStr">
        <is>
          <t>ALVESTA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3118-2025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45678</v>
      </c>
      <c r="E296" s="1" t="n">
        <v>46266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45362</v>
      </c>
      <c r="E297" s="1" t="n">
        <v>46266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46266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45336</v>
      </c>
      <c r="E299" s="1" t="n">
        <v>46266</v>
      </c>
      <c r="F299" t="inlineStr">
        <is>
          <t>KRONOBERGS LÄN</t>
        </is>
      </c>
      <c r="G299" t="inlineStr">
        <is>
          <t>ALVESTA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46266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46266</v>
      </c>
      <c r="F301" t="inlineStr">
        <is>
          <t>KRONOBERGS LÄN</t>
        </is>
      </c>
      <c r="G301" t="inlineStr">
        <is>
          <t>ALVESTA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46266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45664</v>
      </c>
      <c r="E303" s="1" t="n">
        <v>46266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45517</v>
      </c>
      <c r="E304" s="1" t="n">
        <v>46266</v>
      </c>
      <c r="F304" t="inlineStr">
        <is>
          <t>KRONOBERGS LÄN</t>
        </is>
      </c>
      <c r="G304" t="inlineStr">
        <is>
          <t>ALVESTA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46266</v>
      </c>
      <c r="F305" t="inlineStr">
        <is>
          <t>KRONOBERGS LÄN</t>
        </is>
      </c>
      <c r="G305" t="inlineStr">
        <is>
          <t>ALVESTA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46266</v>
      </c>
      <c r="F306" t="inlineStr">
        <is>
          <t>KRONOBERGS LÄN</t>
        </is>
      </c>
      <c r="G306" t="inlineStr">
        <is>
          <t>ALVESTA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60478-2023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45259</v>
      </c>
      <c r="E307" s="1" t="n">
        <v>46266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46266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45673</v>
      </c>
      <c r="E309" s="1" t="n">
        <v>46266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45596</v>
      </c>
      <c r="E310" s="1" t="n">
        <v>46266</v>
      </c>
      <c r="F310" t="inlineStr">
        <is>
          <t>KRONOBERGS LÄN</t>
        </is>
      </c>
      <c r="G310" t="inlineStr">
        <is>
          <t>ALVESTA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46266</v>
      </c>
      <c r="F311" t="inlineStr">
        <is>
          <t>KRONOBERGS LÄN</t>
        </is>
      </c>
      <c r="G311" t="inlineStr">
        <is>
          <t>ALVESTA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46266</v>
      </c>
      <c r="F312" t="inlineStr">
        <is>
          <t>KRONOBERGS LÄN</t>
        </is>
      </c>
      <c r="G312" t="inlineStr">
        <is>
          <t>ALVESTA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46266</v>
      </c>
      <c r="F313" t="inlineStr">
        <is>
          <t>KRONOBERGS LÄN</t>
        </is>
      </c>
      <c r="G313" t="inlineStr">
        <is>
          <t>ALVESTA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46266</v>
      </c>
      <c r="F314" t="inlineStr">
        <is>
          <t>KRONOBERGS LÄN</t>
        </is>
      </c>
      <c r="G314" t="inlineStr">
        <is>
          <t>ALVESTA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46266</v>
      </c>
      <c r="F315" t="inlineStr">
        <is>
          <t>KRONOBERGS LÄN</t>
        </is>
      </c>
      <c r="G315" t="inlineStr">
        <is>
          <t>ALVESTA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46266</v>
      </c>
      <c r="F316" t="inlineStr">
        <is>
          <t>KRONOBERGS LÄN</t>
        </is>
      </c>
      <c r="G316" t="inlineStr">
        <is>
          <t>ALVESTA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46266</v>
      </c>
      <c r="F317" t="inlineStr">
        <is>
          <t>KRONOBERGS LÄN</t>
        </is>
      </c>
      <c r="G317" t="inlineStr">
        <is>
          <t>ALVESTA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45563</v>
      </c>
      <c r="E318" s="1" t="n">
        <v>46266</v>
      </c>
      <c r="F318" t="inlineStr">
        <is>
          <t>KRONOBERGS LÄN</t>
        </is>
      </c>
      <c r="G318" t="inlineStr">
        <is>
          <t>ALVESTA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45163</v>
      </c>
      <c r="E319" s="1" t="n">
        <v>46266</v>
      </c>
      <c r="F319" t="inlineStr">
        <is>
          <t>KRONOBERGS LÄN</t>
        </is>
      </c>
      <c r="G319" t="inlineStr">
        <is>
          <t>ALVESTA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45106</v>
      </c>
      <c r="E320" s="1" t="n">
        <v>46266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46266</v>
      </c>
      <c r="F321" t="inlineStr">
        <is>
          <t>KRONOBERGS LÄN</t>
        </is>
      </c>
      <c r="G321" t="inlineStr">
        <is>
          <t>ALVESTA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45436</v>
      </c>
      <c r="E322" s="1" t="n">
        <v>46266</v>
      </c>
      <c r="F322" t="inlineStr">
        <is>
          <t>KRONOBERGS LÄN</t>
        </is>
      </c>
      <c r="G322" t="inlineStr">
        <is>
          <t>ALVESTA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46266</v>
      </c>
      <c r="F323" t="inlineStr">
        <is>
          <t>KRONOBERGS LÄN</t>
        </is>
      </c>
      <c r="G323" t="inlineStr">
        <is>
          <t>ALVESTA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45390</v>
      </c>
      <c r="E324" s="1" t="n">
        <v>46266</v>
      </c>
      <c r="F324" t="inlineStr">
        <is>
          <t>KRONOBERGS LÄN</t>
        </is>
      </c>
      <c r="G324" t="inlineStr">
        <is>
          <t>ALVESTA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56552-2021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46266</v>
      </c>
      <c r="F325" t="inlineStr">
        <is>
          <t>KRONOBERGS LÄN</t>
        </is>
      </c>
      <c r="G325" t="inlineStr">
        <is>
          <t>ALVESTA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46266</v>
      </c>
      <c r="F326" t="inlineStr">
        <is>
          <t>KRONOBERGS LÄN</t>
        </is>
      </c>
      <c r="G326" t="inlineStr">
        <is>
          <t>ALVESTA</t>
        </is>
      </c>
      <c r="H326" t="inlineStr">
        <is>
          <t>Kyrkan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60700-2025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45996</v>
      </c>
      <c r="E327" s="1" t="n">
        <v>46266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45086</v>
      </c>
      <c r="E328" s="1" t="n">
        <v>46266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46266</v>
      </c>
      <c r="F329" t="inlineStr">
        <is>
          <t>KRONOBERGS LÄN</t>
        </is>
      </c>
      <c r="G329" t="inlineStr">
        <is>
          <t>ALVESTA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44670</v>
      </c>
      <c r="E330" s="1" t="n">
        <v>46266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45635</v>
      </c>
      <c r="E331" s="1" t="n">
        <v>46266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9822-2022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44620</v>
      </c>
      <c r="E332" s="1" t="n">
        <v>46266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46008</v>
      </c>
      <c r="E333" s="1" t="n">
        <v>46266</v>
      </c>
      <c r="F333" t="inlineStr">
        <is>
          <t>KRONOBERGS LÄN</t>
        </is>
      </c>
      <c r="G333" t="inlineStr">
        <is>
          <t>ALVESTA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36817-2024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46266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45342</v>
      </c>
      <c r="E335" s="1" t="n">
        <v>46266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46266</v>
      </c>
      <c r="F336" t="inlineStr">
        <is>
          <t>KRONOBERGS LÄN</t>
        </is>
      </c>
      <c r="G336" t="inlineStr">
        <is>
          <t>ALVESTA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45548</v>
      </c>
      <c r="E337" s="1" t="n">
        <v>46266</v>
      </c>
      <c r="F337" t="inlineStr">
        <is>
          <t>KRONOBERGS LÄN</t>
        </is>
      </c>
      <c r="G337" t="inlineStr">
        <is>
          <t>ALVESTA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46266</v>
      </c>
      <c r="F338" t="inlineStr">
        <is>
          <t>KRONOBERGS LÄN</t>
        </is>
      </c>
      <c r="G338" t="inlineStr">
        <is>
          <t>ALVESTA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46266</v>
      </c>
      <c r="F339" t="inlineStr">
        <is>
          <t>KRONOBERGS LÄN</t>
        </is>
      </c>
      <c r="G339" t="inlineStr">
        <is>
          <t>ALVESTA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45359</v>
      </c>
      <c r="E340" s="1" t="n">
        <v>46266</v>
      </c>
      <c r="F340" t="inlineStr">
        <is>
          <t>KRONOBERGS LÄN</t>
        </is>
      </c>
      <c r="G340" t="inlineStr">
        <is>
          <t>ALVESTA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45949</v>
      </c>
      <c r="E341" s="1" t="n">
        <v>46266</v>
      </c>
      <c r="F341" t="inlineStr">
        <is>
          <t>KRONOBERGS LÄN</t>
        </is>
      </c>
      <c r="G341" t="inlineStr">
        <is>
          <t>ALVESTA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45341</v>
      </c>
      <c r="E342" s="1" t="n">
        <v>46266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46266</v>
      </c>
      <c r="F343" t="inlineStr">
        <is>
          <t>KRONOBERGS LÄN</t>
        </is>
      </c>
      <c r="G343" t="inlineStr">
        <is>
          <t>ALVESTA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46266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46266</v>
      </c>
      <c r="F345" t="inlineStr">
        <is>
          <t>KRONOBERGS LÄN</t>
        </is>
      </c>
      <c r="G345" t="inlineStr">
        <is>
          <t>ALVESTA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38875-2022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44816</v>
      </c>
      <c r="E346" s="1" t="n">
        <v>46266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46266</v>
      </c>
      <c r="F347" t="inlineStr">
        <is>
          <t>KRONOBERGS LÄN</t>
        </is>
      </c>
      <c r="G347" t="inlineStr">
        <is>
          <t>ALVESTA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46266</v>
      </c>
      <c r="F348" t="inlineStr">
        <is>
          <t>KRONOBERGS LÄN</t>
        </is>
      </c>
      <c r="G348" t="inlineStr">
        <is>
          <t>ALVESTA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46266</v>
      </c>
      <c r="F349" t="inlineStr">
        <is>
          <t>KRONOBERGS LÄN</t>
        </is>
      </c>
      <c r="G349" t="inlineStr">
        <is>
          <t>ALVESTA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46266</v>
      </c>
      <c r="F350" t="inlineStr">
        <is>
          <t>KRONOBERGS LÄN</t>
        </is>
      </c>
      <c r="G350" t="inlineStr">
        <is>
          <t>ALVESTA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45336</v>
      </c>
      <c r="E351" s="1" t="n">
        <v>46266</v>
      </c>
      <c r="F351" t="inlineStr">
        <is>
          <t>KRONOBERGS LÄN</t>
        </is>
      </c>
      <c r="G351" t="inlineStr">
        <is>
          <t>ALVESTA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36862-2022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44805</v>
      </c>
      <c r="E352" s="1" t="n">
        <v>46266</v>
      </c>
      <c r="F352" t="inlineStr">
        <is>
          <t>KRONOBERGS LÄN</t>
        </is>
      </c>
      <c r="G352" t="inlineStr">
        <is>
          <t>ALVESTA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46266</v>
      </c>
      <c r="F353" t="inlineStr">
        <is>
          <t>KRONOBERGS LÄN</t>
        </is>
      </c>
      <c r="G353" t="inlineStr">
        <is>
          <t>ALVESTA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46266</v>
      </c>
      <c r="F354" t="inlineStr">
        <is>
          <t>KRONOBERGS LÄN</t>
        </is>
      </c>
      <c r="G354" t="inlineStr">
        <is>
          <t>ALVESTA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46266</v>
      </c>
      <c r="F355" t="inlineStr">
        <is>
          <t>KRONOBERGS LÄN</t>
        </is>
      </c>
      <c r="G355" t="inlineStr">
        <is>
          <t>ALVESTA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44935</v>
      </c>
      <c r="E356" s="1" t="n">
        <v>46266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45512</v>
      </c>
      <c r="E357" s="1" t="n">
        <v>46266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46266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46266</v>
      </c>
      <c r="F359" t="inlineStr">
        <is>
          <t>KRONOBERGS LÄN</t>
        </is>
      </c>
      <c r="G359" t="inlineStr">
        <is>
          <t>ALVESTA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46266</v>
      </c>
      <c r="F360" t="inlineStr">
        <is>
          <t>KRONOBERGS LÄN</t>
        </is>
      </c>
      <c r="G360" t="inlineStr">
        <is>
          <t>ALVESTA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9393-2024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45359</v>
      </c>
      <c r="E361" s="1" t="n">
        <v>46266</v>
      </c>
      <c r="F361" t="inlineStr">
        <is>
          <t>KRONOBERGS LÄN</t>
        </is>
      </c>
      <c r="G361" t="inlineStr">
        <is>
          <t>ALVESTA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46266</v>
      </c>
      <c r="F362" t="inlineStr">
        <is>
          <t>KRONOBERGS LÄN</t>
        </is>
      </c>
      <c r="G362" t="inlineStr">
        <is>
          <t>ALVESTA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7869-2023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46266</v>
      </c>
      <c r="F363" t="inlineStr">
        <is>
          <t>KRONOBERGS LÄN</t>
        </is>
      </c>
      <c r="G363" t="inlineStr">
        <is>
          <t>ALVESTA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46266</v>
      </c>
      <c r="F364" t="inlineStr">
        <is>
          <t>KRONOBERGS LÄN</t>
        </is>
      </c>
      <c r="G364" t="inlineStr">
        <is>
          <t>ALVESTA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46266</v>
      </c>
      <c r="F365" t="inlineStr">
        <is>
          <t>KRONOBERGS LÄN</t>
        </is>
      </c>
      <c r="G365" t="inlineStr">
        <is>
          <t>ALVESTA</t>
        </is>
      </c>
      <c r="H365" t="inlineStr">
        <is>
          <t>Kyrkan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46266</v>
      </c>
      <c r="F366" t="inlineStr">
        <is>
          <t>KRONOBERGS LÄN</t>
        </is>
      </c>
      <c r="G366" t="inlineStr">
        <is>
          <t>ALVESTA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45407</v>
      </c>
      <c r="E367" s="1" t="n">
        <v>46266</v>
      </c>
      <c r="F367" t="inlineStr">
        <is>
          <t>KRONOBERGS LÄN</t>
        </is>
      </c>
      <c r="G367" t="inlineStr">
        <is>
          <t>ALVESTA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8842-2023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44978</v>
      </c>
      <c r="E368" s="1" t="n">
        <v>46266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46266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46266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46266</v>
      </c>
      <c r="F371" t="inlineStr">
        <is>
          <t>KRONOBERGS LÄN</t>
        </is>
      </c>
      <c r="G371" t="inlineStr">
        <is>
          <t>ALVESTA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45296</v>
      </c>
      <c r="E372" s="1" t="n">
        <v>46266</v>
      </c>
      <c r="F372" t="inlineStr">
        <is>
          <t>KRONOBERGS LÄN</t>
        </is>
      </c>
      <c r="G372" t="inlineStr">
        <is>
          <t>ALVESTA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44998</v>
      </c>
      <c r="E373" s="1" t="n">
        <v>46266</v>
      </c>
      <c r="F373" t="inlineStr">
        <is>
          <t>KRONOBERGS LÄN</t>
        </is>
      </c>
      <c r="G373" t="inlineStr">
        <is>
          <t>ALVESTA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45436</v>
      </c>
      <c r="E374" s="1" t="n">
        <v>46266</v>
      </c>
      <c r="F374" t="inlineStr">
        <is>
          <t>KRONOBERGS LÄN</t>
        </is>
      </c>
      <c r="G374" t="inlineStr">
        <is>
          <t>ALVESTA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46266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45418</v>
      </c>
      <c r="E376" s="1" t="n">
        <v>46266</v>
      </c>
      <c r="F376" t="inlineStr">
        <is>
          <t>KRONOBERGS LÄN</t>
        </is>
      </c>
      <c r="G376" t="inlineStr">
        <is>
          <t>ALVESTA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46266</v>
      </c>
      <c r="F377" t="inlineStr">
        <is>
          <t>KRONOBERGS LÄN</t>
        </is>
      </c>
      <c r="G377" t="inlineStr">
        <is>
          <t>ALVESTA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45706</v>
      </c>
      <c r="E378" s="1" t="n">
        <v>46266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44938</v>
      </c>
      <c r="E379" s="1" t="n">
        <v>46266</v>
      </c>
      <c r="F379" t="inlineStr">
        <is>
          <t>KRONOBERGS LÄN</t>
        </is>
      </c>
      <c r="G379" t="inlineStr">
        <is>
          <t>ALVESTA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46266</v>
      </c>
      <c r="F380" t="inlineStr">
        <is>
          <t>KRONOBERGS LÄN</t>
        </is>
      </c>
      <c r="G380" t="inlineStr">
        <is>
          <t>ALVESTA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45436</v>
      </c>
      <c r="E381" s="1" t="n">
        <v>46266</v>
      </c>
      <c r="F381" t="inlineStr">
        <is>
          <t>KRONOBERGS LÄN</t>
        </is>
      </c>
      <c r="G381" t="inlineStr">
        <is>
          <t>ALVESTA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46266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45288</v>
      </c>
      <c r="E383" s="1" t="n">
        <v>46266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46266</v>
      </c>
      <c r="F384" t="inlineStr">
        <is>
          <t>KRONOBERGS LÄN</t>
        </is>
      </c>
      <c r="G384" t="inlineStr">
        <is>
          <t>ALVESTA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45359</v>
      </c>
      <c r="E385" s="1" t="n">
        <v>46266</v>
      </c>
      <c r="F385" t="inlineStr">
        <is>
          <t>KRONOBERGS LÄN</t>
        </is>
      </c>
      <c r="G385" t="inlineStr">
        <is>
          <t>ALVESTA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45608</v>
      </c>
      <c r="E386" s="1" t="n">
        <v>46266</v>
      </c>
      <c r="F386" t="inlineStr">
        <is>
          <t>KRONOBERGS LÄN</t>
        </is>
      </c>
      <c r="G386" t="inlineStr">
        <is>
          <t>ALVESTA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46266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28529-2024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46266</v>
      </c>
      <c r="F388" t="inlineStr">
        <is>
          <t>KRONOBERGS LÄN</t>
        </is>
      </c>
      <c r="G388" t="inlineStr">
        <is>
          <t>ALVESTA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45362</v>
      </c>
      <c r="E389" s="1" t="n">
        <v>46266</v>
      </c>
      <c r="F389" t="inlineStr">
        <is>
          <t>KRONOBERGS LÄN</t>
        </is>
      </c>
      <c r="G389" t="inlineStr">
        <is>
          <t>ALVESTA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46266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46266</v>
      </c>
      <c r="F391" t="inlineStr">
        <is>
          <t>KRONOBERGS LÄN</t>
        </is>
      </c>
      <c r="G391" t="inlineStr">
        <is>
          <t>ALVESTA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46266</v>
      </c>
      <c r="F392" t="inlineStr">
        <is>
          <t>KRONOBERGS LÄN</t>
        </is>
      </c>
      <c r="G392" t="inlineStr">
        <is>
          <t>ALVESTA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46266</v>
      </c>
      <c r="F393" t="inlineStr">
        <is>
          <t>KRONOBERGS LÄN</t>
        </is>
      </c>
      <c r="G393" t="inlineStr">
        <is>
          <t>ALVESTA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44635</v>
      </c>
      <c r="E394" s="1" t="n">
        <v>46266</v>
      </c>
      <c r="F394" t="inlineStr">
        <is>
          <t>KRONOBERGS LÄN</t>
        </is>
      </c>
      <c r="G394" t="inlineStr">
        <is>
          <t>ALVESTA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11331-2026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46081</v>
      </c>
      <c r="E395" s="1" t="n">
        <v>46266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45342</v>
      </c>
      <c r="E396" s="1" t="n">
        <v>46266</v>
      </c>
      <c r="F396" t="inlineStr">
        <is>
          <t>KRONOBERGS LÄN</t>
        </is>
      </c>
      <c r="G396" t="inlineStr">
        <is>
          <t>ALVESTA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46266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45136</v>
      </c>
      <c r="E398" s="1" t="n">
        <v>46266</v>
      </c>
      <c r="F398" t="inlineStr">
        <is>
          <t>KRONOBERGS LÄN</t>
        </is>
      </c>
      <c r="G398" t="inlineStr">
        <is>
          <t>ALVESTA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46266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46266</v>
      </c>
      <c r="F400" t="inlineStr">
        <is>
          <t>KRONOBERGS LÄN</t>
        </is>
      </c>
      <c r="G400" t="inlineStr">
        <is>
          <t>ALVESTA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12258-2026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46087</v>
      </c>
      <c r="E401" s="1" t="n">
        <v>46266</v>
      </c>
      <c r="F401" t="inlineStr">
        <is>
          <t>KRONOBERGS LÄN</t>
        </is>
      </c>
      <c r="G401" t="inlineStr">
        <is>
          <t>ALVESTA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46266</v>
      </c>
      <c r="F402" t="inlineStr">
        <is>
          <t>KRONOBERGS LÄN</t>
        </is>
      </c>
      <c r="G402" t="inlineStr">
        <is>
          <t>ALVESTA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44657</v>
      </c>
      <c r="E403" s="1" t="n">
        <v>46266</v>
      </c>
      <c r="F403" t="inlineStr">
        <is>
          <t>KRONOBERGS LÄN</t>
        </is>
      </c>
      <c r="G403" t="inlineStr">
        <is>
          <t>ALVESTA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46266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46266</v>
      </c>
      <c r="F405" t="inlineStr">
        <is>
          <t>KRONOBERGS LÄN</t>
        </is>
      </c>
      <c r="G405" t="inlineStr">
        <is>
          <t>ALVESTA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45128</v>
      </c>
      <c r="E406" s="1" t="n">
        <v>46266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46266</v>
      </c>
      <c r="F407" t="inlineStr">
        <is>
          <t>KRONOBERGS LÄN</t>
        </is>
      </c>
      <c r="G407" t="inlineStr">
        <is>
          <t>ALVESTA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46266</v>
      </c>
      <c r="F408" t="inlineStr">
        <is>
          <t>KRONOBERGS LÄN</t>
        </is>
      </c>
      <c r="G408" t="inlineStr">
        <is>
          <t>ALVESTA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45692</v>
      </c>
      <c r="E409" s="1" t="n">
        <v>46266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46266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46266</v>
      </c>
      <c r="F411" t="inlineStr">
        <is>
          <t>KRONOBERGS LÄN</t>
        </is>
      </c>
      <c r="G411" t="inlineStr">
        <is>
          <t>ALVESTA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46266</v>
      </c>
      <c r="F412" t="inlineStr">
        <is>
          <t>KRONOBERGS LÄN</t>
        </is>
      </c>
      <c r="G412" t="inlineStr">
        <is>
          <t>ALVESTA</t>
        </is>
      </c>
      <c r="H412" t="inlineStr">
        <is>
          <t>Övriga Aktiebolag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46266</v>
      </c>
      <c r="F413" t="inlineStr">
        <is>
          <t>KRONOBERGS LÄN</t>
        </is>
      </c>
      <c r="G413" t="inlineStr">
        <is>
          <t>ALVESTA</t>
        </is>
      </c>
      <c r="H413" t="inlineStr">
        <is>
          <t>Övriga Aktiebolag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46448-2021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44445</v>
      </c>
      <c r="E414" s="1" t="n">
        <v>46266</v>
      </c>
      <c r="F414" t="inlineStr">
        <is>
          <t>KRONOBERGS LÄN</t>
        </is>
      </c>
      <c r="G414" t="inlineStr">
        <is>
          <t>ALVESTA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58648-2024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45635</v>
      </c>
      <c r="E415" s="1" t="n">
        <v>46266</v>
      </c>
      <c r="F415" t="inlineStr">
        <is>
          <t>KRONOBERGS LÄN</t>
        </is>
      </c>
      <c r="G415" t="inlineStr">
        <is>
          <t>ALVESTA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46266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45699</v>
      </c>
      <c r="E417" s="1" t="n">
        <v>46266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46266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50697-2023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45217</v>
      </c>
      <c r="E419" s="1" t="n">
        <v>46266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45366</v>
      </c>
      <c r="E420" s="1" t="n">
        <v>46266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45324</v>
      </c>
      <c r="E421" s="1" t="n">
        <v>46266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46266</v>
      </c>
      <c r="F422" t="inlineStr">
        <is>
          <t>KRONOBERGS LÄN</t>
        </is>
      </c>
      <c r="G422" t="inlineStr">
        <is>
          <t>ALVESTA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46266</v>
      </c>
      <c r="F423" t="inlineStr">
        <is>
          <t>KRONOBERGS LÄN</t>
        </is>
      </c>
      <c r="G423" t="inlineStr">
        <is>
          <t>ALVESTA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46266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52172-2022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44873</v>
      </c>
      <c r="E425" s="1" t="n">
        <v>46266</v>
      </c>
      <c r="F425" t="inlineStr">
        <is>
          <t>KRONOBERGS LÄN</t>
        </is>
      </c>
      <c r="G425" t="inlineStr">
        <is>
          <t>ALVESTA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45608</v>
      </c>
      <c r="E426" s="1" t="n">
        <v>46266</v>
      </c>
      <c r="F426" t="inlineStr">
        <is>
          <t>KRONOBERGS LÄN</t>
        </is>
      </c>
      <c r="G426" t="inlineStr">
        <is>
          <t>ALVESTA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46266</v>
      </c>
      <c r="F427" t="inlineStr">
        <is>
          <t>KRONOBERGS LÄN</t>
        </is>
      </c>
      <c r="G427" t="inlineStr">
        <is>
          <t>ALVESTA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46266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17823-2026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46122</v>
      </c>
      <c r="E429" s="1" t="n">
        <v>46266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46122</v>
      </c>
      <c r="E430" s="1" t="n">
        <v>46266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17801-2026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46122</v>
      </c>
      <c r="E431" s="1" t="n">
        <v>46266</v>
      </c>
      <c r="F431" t="inlineStr">
        <is>
          <t>KRONOBERGS LÄN</t>
        </is>
      </c>
      <c r="G431" t="inlineStr">
        <is>
          <t>ALVESTA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46122</v>
      </c>
      <c r="E432" s="1" t="n">
        <v>46266</v>
      </c>
      <c r="F432" t="inlineStr">
        <is>
          <t>KRONOBERGS LÄN</t>
        </is>
      </c>
      <c r="G432" t="inlineStr">
        <is>
          <t>ALVESTA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45359</v>
      </c>
      <c r="E433" s="1" t="n">
        <v>46266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46129</v>
      </c>
      <c r="E434" s="1" t="n">
        <v>46266</v>
      </c>
      <c r="F434" t="inlineStr">
        <is>
          <t>KRONOBERGS LÄN</t>
        </is>
      </c>
      <c r="G434" t="inlineStr">
        <is>
          <t>ALVESTA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46266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46266</v>
      </c>
      <c r="F436" t="inlineStr">
        <is>
          <t>KRONOBERGS LÄN</t>
        </is>
      </c>
      <c r="G436" t="inlineStr">
        <is>
          <t>ALVESTA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46266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46266</v>
      </c>
      <c r="F438" t="inlineStr">
        <is>
          <t>KRONOBERGS LÄN</t>
        </is>
      </c>
      <c r="G438" t="inlineStr">
        <is>
          <t>ALVESTA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54966-2023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46266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46266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46266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45608</v>
      </c>
      <c r="E442" s="1" t="n">
        <v>46266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46266</v>
      </c>
      <c r="F443" t="inlineStr">
        <is>
          <t>KRONOBERGS LÄN</t>
        </is>
      </c>
      <c r="G443" t="inlineStr">
        <is>
          <t>ALVESTA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46266</v>
      </c>
      <c r="F444" t="inlineStr">
        <is>
          <t>KRONOBERGS LÄN</t>
        </is>
      </c>
      <c r="G444" t="inlineStr">
        <is>
          <t>ALVESTA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46266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45300</v>
      </c>
      <c r="E446" s="1" t="n">
        <v>46266</v>
      </c>
      <c r="F446" t="inlineStr">
        <is>
          <t>KRONOBERGS LÄN</t>
        </is>
      </c>
      <c r="G446" t="inlineStr">
        <is>
          <t>ALVESTA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45254</v>
      </c>
      <c r="E447" s="1" t="n">
        <v>46266</v>
      </c>
      <c r="F447" t="inlineStr">
        <is>
          <t>KRONOBERGS LÄN</t>
        </is>
      </c>
      <c r="G447" t="inlineStr">
        <is>
          <t>ALVESTA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46266</v>
      </c>
      <c r="F448" t="inlineStr">
        <is>
          <t>KRONOBERGS LÄN</t>
        </is>
      </c>
      <c r="G448" t="inlineStr">
        <is>
          <t>ALVESTA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46266</v>
      </c>
      <c r="F449" t="inlineStr">
        <is>
          <t>KRONOBERGS LÄN</t>
        </is>
      </c>
      <c r="G449" t="inlineStr">
        <is>
          <t>ALVESTA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44893</v>
      </c>
      <c r="E450" s="1" t="n">
        <v>46266</v>
      </c>
      <c r="F450" t="inlineStr">
        <is>
          <t>KRONOBERGS LÄN</t>
        </is>
      </c>
      <c r="G450" t="inlineStr">
        <is>
          <t>ALVESTA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46266</v>
      </c>
      <c r="F451" t="inlineStr">
        <is>
          <t>KRONOBERGS LÄN</t>
        </is>
      </c>
      <c r="G451" t="inlineStr">
        <is>
          <t>ALVESTA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45407</v>
      </c>
      <c r="E452" s="1" t="n">
        <v>46266</v>
      </c>
      <c r="F452" t="inlineStr">
        <is>
          <t>KRONOBERGS LÄN</t>
        </is>
      </c>
      <c r="G452" t="inlineStr">
        <is>
          <t>ALVESTA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12818-2025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45733</v>
      </c>
      <c r="E453" s="1" t="n">
        <v>46266</v>
      </c>
      <c r="F453" t="inlineStr">
        <is>
          <t>KRONOBERGS LÄN</t>
        </is>
      </c>
      <c r="G453" t="inlineStr">
        <is>
          <t>ALVESTA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46266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46266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45471</v>
      </c>
      <c r="E456" s="1" t="n">
        <v>46266</v>
      </c>
      <c r="F456" t="inlineStr">
        <is>
          <t>KRONOBERGS LÄN</t>
        </is>
      </c>
      <c r="G456" t="inlineStr">
        <is>
          <t>ALVESTA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46266</v>
      </c>
      <c r="F457" t="inlineStr">
        <is>
          <t>KRONOBERGS LÄN</t>
        </is>
      </c>
      <c r="G457" t="inlineStr">
        <is>
          <t>ALVESTA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45874</v>
      </c>
      <c r="E458" s="1" t="n">
        <v>46266</v>
      </c>
      <c r="F458" t="inlineStr">
        <is>
          <t>KRONOBERGS LÄN</t>
        </is>
      </c>
      <c r="G458" t="inlineStr">
        <is>
          <t>ALVESTA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45385</v>
      </c>
      <c r="E459" s="1" t="n">
        <v>46266</v>
      </c>
      <c r="F459" t="inlineStr">
        <is>
          <t>KRONOBERGS LÄN</t>
        </is>
      </c>
      <c r="G459" t="inlineStr">
        <is>
          <t>ALVESTA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45436</v>
      </c>
      <c r="E460" s="1" t="n">
        <v>46266</v>
      </c>
      <c r="F460" t="inlineStr">
        <is>
          <t>KRONOBERGS LÄN</t>
        </is>
      </c>
      <c r="G460" t="inlineStr">
        <is>
          <t>ALVESTA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42905-2023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46266</v>
      </c>
      <c r="F461" t="inlineStr">
        <is>
          <t>KRONOBERGS LÄN</t>
        </is>
      </c>
      <c r="G461" t="inlineStr">
        <is>
          <t>ALVESTA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45476</v>
      </c>
      <c r="E462" s="1" t="n">
        <v>46266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39263-2023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45166</v>
      </c>
      <c r="E463" s="1" t="n">
        <v>46266</v>
      </c>
      <c r="F463" t="inlineStr">
        <is>
          <t>KRONOBERGS LÄN</t>
        </is>
      </c>
      <c r="G463" t="inlineStr">
        <is>
          <t>ALVESTA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46266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46266</v>
      </c>
      <c r="F465" t="inlineStr">
        <is>
          <t>KRONOBERGS LÄN</t>
        </is>
      </c>
      <c r="G465" t="inlineStr">
        <is>
          <t>ALVESTA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46266</v>
      </c>
      <c r="F466" t="inlineStr">
        <is>
          <t>KRONOBERGS LÄN</t>
        </is>
      </c>
      <c r="G466" t="inlineStr">
        <is>
          <t>ALVESTA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45155</v>
      </c>
      <c r="E467" s="1" t="n">
        <v>46266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46266</v>
      </c>
      <c r="F468" t="inlineStr">
        <is>
          <t>KRONOBERGS LÄN</t>
        </is>
      </c>
      <c r="G468" t="inlineStr">
        <is>
          <t>ALVESTA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46266</v>
      </c>
      <c r="F469" t="inlineStr">
        <is>
          <t>KRONOBERGS LÄN</t>
        </is>
      </c>
      <c r="G469" t="inlineStr">
        <is>
          <t>ALVESTA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44935</v>
      </c>
      <c r="E470" s="1" t="n">
        <v>46266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44739</v>
      </c>
      <c r="E471" s="1" t="n">
        <v>46266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46266</v>
      </c>
      <c r="F472" t="inlineStr">
        <is>
          <t>KRONOBERGS LÄN</t>
        </is>
      </c>
      <c r="G472" t="inlineStr">
        <is>
          <t>ALVESTA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46266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46266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45909</v>
      </c>
      <c r="E475" s="1" t="n">
        <v>46266</v>
      </c>
      <c r="F475" t="inlineStr">
        <is>
          <t>KRONOBERGS LÄN</t>
        </is>
      </c>
      <c r="G475" t="inlineStr">
        <is>
          <t>ALVESTA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46266</v>
      </c>
      <c r="F476" t="inlineStr">
        <is>
          <t>KRONOBERGS LÄN</t>
        </is>
      </c>
      <c r="G476" t="inlineStr">
        <is>
          <t>ALVESTA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34220-2024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46266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46266</v>
      </c>
      <c r="F478" t="inlineStr">
        <is>
          <t>KRONOBERGS LÄN</t>
        </is>
      </c>
      <c r="G478" t="inlineStr">
        <is>
          <t>ALVESTA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45856</v>
      </c>
      <c r="E479" s="1" t="n">
        <v>46266</v>
      </c>
      <c r="F479" t="inlineStr">
        <is>
          <t>KRONOBERGS LÄN</t>
        </is>
      </c>
      <c r="G479" t="inlineStr">
        <is>
          <t>ALVESTA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45858</v>
      </c>
      <c r="E480" s="1" t="n">
        <v>46266</v>
      </c>
      <c r="F480" t="inlineStr">
        <is>
          <t>KRONOBERGS LÄN</t>
        </is>
      </c>
      <c r="G480" t="inlineStr">
        <is>
          <t>ALVESTA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45005</v>
      </c>
      <c r="E481" s="1" t="n">
        <v>46266</v>
      </c>
      <c r="F481" t="inlineStr">
        <is>
          <t>KRONOBERGS LÄN</t>
        </is>
      </c>
      <c r="G481" t="inlineStr">
        <is>
          <t>ALVESTA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46266</v>
      </c>
      <c r="F482" t="inlineStr">
        <is>
          <t>KRONOBERGS LÄN</t>
        </is>
      </c>
      <c r="G482" t="inlineStr">
        <is>
          <t>ALVESTA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45218</v>
      </c>
      <c r="E483" s="1" t="n">
        <v>46266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44991</v>
      </c>
      <c r="E484" s="1" t="n">
        <v>46266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51210-2022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44868</v>
      </c>
      <c r="E485" s="1" t="n">
        <v>46266</v>
      </c>
      <c r="F485" t="inlineStr">
        <is>
          <t>KRONOBERGS LÄN</t>
        </is>
      </c>
      <c r="G485" t="inlineStr">
        <is>
          <t>ALVESTA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44601</v>
      </c>
      <c r="E486" s="1" t="n">
        <v>46266</v>
      </c>
      <c r="F486" t="inlineStr">
        <is>
          <t>KRONOBERGS LÄN</t>
        </is>
      </c>
      <c r="G486" t="inlineStr">
        <is>
          <t>ALVESTA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45426</v>
      </c>
      <c r="E487" s="1" t="n">
        <v>46266</v>
      </c>
      <c r="F487" t="inlineStr">
        <is>
          <t>KRONOBERGS LÄN</t>
        </is>
      </c>
      <c r="G487" t="inlineStr">
        <is>
          <t>ALVESTA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45068</v>
      </c>
      <c r="E488" s="1" t="n">
        <v>46266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46266</v>
      </c>
      <c r="F489" t="inlineStr">
        <is>
          <t>KRONOBERGS LÄN</t>
        </is>
      </c>
      <c r="G489" t="inlineStr">
        <is>
          <t>ALVESTA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46266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45614</v>
      </c>
      <c r="E491" s="1" t="n">
        <v>46266</v>
      </c>
      <c r="F491" t="inlineStr">
        <is>
          <t>KRONOBERGS LÄN</t>
        </is>
      </c>
      <c r="G491" t="inlineStr">
        <is>
          <t>ALVESTA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53459-2024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45614</v>
      </c>
      <c r="E492" s="1" t="n">
        <v>46266</v>
      </c>
      <c r="F492" t="inlineStr">
        <is>
          <t>KRONOBERGS LÄN</t>
        </is>
      </c>
      <c r="G492" t="inlineStr">
        <is>
          <t>ALVESTA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46266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45305</v>
      </c>
      <c r="E494" s="1" t="n">
        <v>46266</v>
      </c>
      <c r="F494" t="inlineStr">
        <is>
          <t>KRONOBERGS LÄN</t>
        </is>
      </c>
      <c r="G494" t="inlineStr">
        <is>
          <t>ALVESTA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46266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11515-2025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45726</v>
      </c>
      <c r="E496" s="1" t="n">
        <v>46266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53226-2024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45613</v>
      </c>
      <c r="E497" s="1" t="n">
        <v>46266</v>
      </c>
      <c r="F497" t="inlineStr">
        <is>
          <t>KRONOBERGS LÄN</t>
        </is>
      </c>
      <c r="G497" t="inlineStr">
        <is>
          <t>ALVESTA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46266</v>
      </c>
      <c r="F498" t="inlineStr">
        <is>
          <t>KRONOBERGS LÄN</t>
        </is>
      </c>
      <c r="G498" t="inlineStr">
        <is>
          <t>ALVESTA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44998</v>
      </c>
      <c r="E499" s="1" t="n">
        <v>46266</v>
      </c>
      <c r="F499" t="inlineStr">
        <is>
          <t>KRONOBERGS LÄN</t>
        </is>
      </c>
      <c r="G499" t="inlineStr">
        <is>
          <t>ALVESTA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44943</v>
      </c>
      <c r="E500" s="1" t="n">
        <v>46266</v>
      </c>
      <c r="F500" t="inlineStr">
        <is>
          <t>KRONOBERGS LÄN</t>
        </is>
      </c>
      <c r="G500" t="inlineStr">
        <is>
          <t>ALVESTA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9687-2024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45362</v>
      </c>
      <c r="E501" s="1" t="n">
        <v>46266</v>
      </c>
      <c r="F501" t="inlineStr">
        <is>
          <t>KRONOBERGS LÄN</t>
        </is>
      </c>
      <c r="G501" t="inlineStr">
        <is>
          <t>ALVESTA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46266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46266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44995</v>
      </c>
      <c r="E504" s="1" t="n">
        <v>46266</v>
      </c>
      <c r="F504" t="inlineStr">
        <is>
          <t>KRONOBERGS LÄN</t>
        </is>
      </c>
      <c r="G504" t="inlineStr">
        <is>
          <t>ALVESTA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44994</v>
      </c>
      <c r="E505" s="1" t="n">
        <v>46266</v>
      </c>
      <c r="F505" t="inlineStr">
        <is>
          <t>KRONOBERGS LÄN</t>
        </is>
      </c>
      <c r="G505" t="inlineStr">
        <is>
          <t>ALVESTA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46266</v>
      </c>
      <c r="F506" t="inlineStr">
        <is>
          <t>KRONOBERGS LÄN</t>
        </is>
      </c>
      <c r="G506" t="inlineStr">
        <is>
          <t>ALVESTA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46266</v>
      </c>
      <c r="F507" t="inlineStr">
        <is>
          <t>KRONOBERGS LÄN</t>
        </is>
      </c>
      <c r="G507" t="inlineStr">
        <is>
          <t>ALVESTA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45092</v>
      </c>
      <c r="E508" s="1" t="n">
        <v>46266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40612-2025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45896</v>
      </c>
      <c r="E509" s="1" t="n">
        <v>46266</v>
      </c>
      <c r="F509" t="inlineStr">
        <is>
          <t>KRONOBERGS LÄN</t>
        </is>
      </c>
      <c r="G509" t="inlineStr">
        <is>
          <t>ALVESTA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45308</v>
      </c>
      <c r="E510" s="1" t="n">
        <v>46266</v>
      </c>
      <c r="F510" t="inlineStr">
        <is>
          <t>KRONOBERGS LÄN</t>
        </is>
      </c>
      <c r="G510" t="inlineStr">
        <is>
          <t>ALVESTA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45161</v>
      </c>
      <c r="E511" s="1" t="n">
        <v>46266</v>
      </c>
      <c r="F511" t="inlineStr">
        <is>
          <t>KRONOBERGS LÄN</t>
        </is>
      </c>
      <c r="G511" t="inlineStr">
        <is>
          <t>ALVESTA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45854</v>
      </c>
      <c r="E512" s="1" t="n">
        <v>46266</v>
      </c>
      <c r="F512" t="inlineStr">
        <is>
          <t>KRONOBERGS LÄN</t>
        </is>
      </c>
      <c r="G512" t="inlineStr">
        <is>
          <t>ALVESTA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45903</v>
      </c>
      <c r="E513" s="1" t="n">
        <v>46266</v>
      </c>
      <c r="F513" t="inlineStr">
        <is>
          <t>KRONOBERGS LÄN</t>
        </is>
      </c>
      <c r="G513" t="inlineStr">
        <is>
          <t>ALVESTA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53425-2025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46266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46266</v>
      </c>
      <c r="F515" t="inlineStr">
        <is>
          <t>KRONOBERGS LÄN</t>
        </is>
      </c>
      <c r="G515" t="inlineStr">
        <is>
          <t>ALVESTA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46266</v>
      </c>
      <c r="F516" t="inlineStr">
        <is>
          <t>KRONOBERGS LÄN</t>
        </is>
      </c>
      <c r="G516" t="inlineStr">
        <is>
          <t>ALVESTA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44880</v>
      </c>
      <c r="E517" s="1" t="n">
        <v>46266</v>
      </c>
      <c r="F517" t="inlineStr">
        <is>
          <t>KRONOBERGS LÄN</t>
        </is>
      </c>
      <c r="G517" t="inlineStr">
        <is>
          <t>ALVESTA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44907</v>
      </c>
      <c r="E518" s="1" t="n">
        <v>46266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46266</v>
      </c>
      <c r="F519" t="inlineStr">
        <is>
          <t>KRONOBERGS LÄN</t>
        </is>
      </c>
      <c r="G519" t="inlineStr">
        <is>
          <t>ALVESTA</t>
        </is>
      </c>
      <c r="I519" t="n">
        <v>10.2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46266</v>
      </c>
      <c r="F520" t="inlineStr">
        <is>
          <t>KRONOBERGS LÄN</t>
        </is>
      </c>
      <c r="G520" t="inlineStr">
        <is>
          <t>ALVESTA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46266</v>
      </c>
      <c r="F521" t="inlineStr">
        <is>
          <t>KRONOBERGS LÄN</t>
        </is>
      </c>
      <c r="G521" t="inlineStr">
        <is>
          <t>ALVESTA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46266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45385</v>
      </c>
      <c r="E523" s="1" t="n">
        <v>46266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45358</v>
      </c>
      <c r="E524" s="1" t="n">
        <v>46266</v>
      </c>
      <c r="F524" t="inlineStr">
        <is>
          <t>KRONOBERGS LÄN</t>
        </is>
      </c>
      <c r="G524" t="inlineStr">
        <is>
          <t>ALVESTA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24419-2026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46169</v>
      </c>
      <c r="E525" s="1" t="n">
        <v>46266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62645-2022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44925</v>
      </c>
      <c r="E526" s="1" t="n">
        <v>46266</v>
      </c>
      <c r="F526" t="inlineStr">
        <is>
          <t>KRONOBERGS LÄN</t>
        </is>
      </c>
      <c r="G526" t="inlineStr">
        <is>
          <t>ALVESTA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24420-2026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46169</v>
      </c>
      <c r="E527" s="1" t="n">
        <v>46266</v>
      </c>
      <c r="F527" t="inlineStr">
        <is>
          <t>KRONOBERGS LÄN</t>
        </is>
      </c>
      <c r="G527" t="inlineStr">
        <is>
          <t>ALVESTA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46266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46266</v>
      </c>
      <c r="F529" t="inlineStr">
        <is>
          <t>KRONOBERGS LÄN</t>
        </is>
      </c>
      <c r="G529" t="inlineStr">
        <is>
          <t>ALVESTA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46266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45302</v>
      </c>
      <c r="E531" s="1" t="n">
        <v>46266</v>
      </c>
      <c r="F531" t="inlineStr">
        <is>
          <t>KRONOBERGS LÄN</t>
        </is>
      </c>
      <c r="G531" t="inlineStr">
        <is>
          <t>ALVESTA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37839-2024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45544</v>
      </c>
      <c r="E532" s="1" t="n">
        <v>46266</v>
      </c>
      <c r="F532" t="inlineStr">
        <is>
          <t>KRONOBERGS LÄN</t>
        </is>
      </c>
      <c r="G532" t="inlineStr">
        <is>
          <t>ALVESTA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45032</v>
      </c>
      <c r="E533" s="1" t="n">
        <v>46266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46266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46266</v>
      </c>
      <c r="F535" t="inlineStr">
        <is>
          <t>KRONOBERGS LÄN</t>
        </is>
      </c>
      <c r="G535" t="inlineStr">
        <is>
          <t>ALVESTA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45217</v>
      </c>
      <c r="E536" s="1" t="n">
        <v>46266</v>
      </c>
      <c r="F536" t="inlineStr">
        <is>
          <t>KRONOBERGS LÄN</t>
        </is>
      </c>
      <c r="G536" t="inlineStr">
        <is>
          <t>ALVESTA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45128</v>
      </c>
      <c r="E537" s="1" t="n">
        <v>46266</v>
      </c>
      <c r="F537" t="inlineStr">
        <is>
          <t>KRONOBERGS LÄN</t>
        </is>
      </c>
      <c r="G537" t="inlineStr">
        <is>
          <t>ALVESTA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24692-2026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46171</v>
      </c>
      <c r="E538" s="1" t="n">
        <v>46266</v>
      </c>
      <c r="F538" t="inlineStr">
        <is>
          <t>KRONOBERGS LÄN</t>
        </is>
      </c>
      <c r="G538" t="inlineStr">
        <is>
          <t>ALVESTA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46175</v>
      </c>
      <c r="E539" s="1" t="n">
        <v>46266</v>
      </c>
      <c r="F539" t="inlineStr">
        <is>
          <t>KRONOBERGS LÄN</t>
        </is>
      </c>
      <c r="G539" t="inlineStr">
        <is>
          <t>ALVESTA</t>
        </is>
      </c>
      <c r="H539" t="inlineStr">
        <is>
          <t>Kommuner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45744</v>
      </c>
      <c r="E540" s="1" t="n">
        <v>46266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44747</v>
      </c>
      <c r="E541" s="1" t="n">
        <v>46266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46266</v>
      </c>
      <c r="F542" t="inlineStr">
        <is>
          <t>KRONOBERGS LÄN</t>
        </is>
      </c>
      <c r="G542" t="inlineStr">
        <is>
          <t>ALVESTA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46266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46266</v>
      </c>
      <c r="F544" t="inlineStr">
        <is>
          <t>KRONOBERGS LÄN</t>
        </is>
      </c>
      <c r="G544" t="inlineStr">
        <is>
          <t>ALVESTA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46266</v>
      </c>
      <c r="F545" t="inlineStr">
        <is>
          <t>KRONOBERGS LÄN</t>
        </is>
      </c>
      <c r="G545" t="inlineStr">
        <is>
          <t>ALVESTA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46177</v>
      </c>
      <c r="E546" s="1" t="n">
        <v>46266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45329</v>
      </c>
      <c r="E547" s="1" t="n">
        <v>46266</v>
      </c>
      <c r="F547" t="inlineStr">
        <is>
          <t>KRONOBERGS LÄN</t>
        </is>
      </c>
      <c r="G547" t="inlineStr">
        <is>
          <t>ALVESTA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45136</v>
      </c>
      <c r="E548" s="1" t="n">
        <v>46266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45436</v>
      </c>
      <c r="E549" s="1" t="n">
        <v>46266</v>
      </c>
      <c r="F549" t="inlineStr">
        <is>
          <t>KRONOBERGS LÄN</t>
        </is>
      </c>
      <c r="G549" t="inlineStr">
        <is>
          <t>ALVESTA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40566-2024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45555</v>
      </c>
      <c r="E550" s="1" t="n">
        <v>46266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42467-2024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45565</v>
      </c>
      <c r="E551" s="1" t="n">
        <v>46266</v>
      </c>
      <c r="F551" t="inlineStr">
        <is>
          <t>KRONOBERGS LÄN</t>
        </is>
      </c>
      <c r="G551" t="inlineStr">
        <is>
          <t>ALVESTA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49407-2024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46266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46266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45146</v>
      </c>
      <c r="E554" s="1" t="n">
        <v>46266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45330</v>
      </c>
      <c r="E555" s="1" t="n">
        <v>46266</v>
      </c>
      <c r="F555" t="inlineStr">
        <is>
          <t>KRONOBERGS LÄN</t>
        </is>
      </c>
      <c r="G555" t="inlineStr">
        <is>
          <t>ALVESTA</t>
        </is>
      </c>
      <c r="H555" t="inlineStr">
        <is>
          <t>Övriga Aktiebolag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44735</v>
      </c>
      <c r="E556" s="1" t="n">
        <v>46266</v>
      </c>
      <c r="F556" t="inlineStr">
        <is>
          <t>KRONOBERGS LÄN</t>
        </is>
      </c>
      <c r="G556" t="inlineStr">
        <is>
          <t>ALVESTA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45618</v>
      </c>
      <c r="E557" s="1" t="n">
        <v>46266</v>
      </c>
      <c r="F557" t="inlineStr">
        <is>
          <t>KRONOBERGS LÄN</t>
        </is>
      </c>
      <c r="G557" t="inlineStr">
        <is>
          <t>ALVESTA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45608</v>
      </c>
      <c r="E558" s="1" t="n">
        <v>46266</v>
      </c>
      <c r="F558" t="inlineStr">
        <is>
          <t>KRONOBERGS LÄN</t>
        </is>
      </c>
      <c r="G558" t="inlineStr">
        <is>
          <t>ALVESTA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46266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27077-2026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46186</v>
      </c>
      <c r="E560" s="1" t="n">
        <v>46266</v>
      </c>
      <c r="F560" t="inlineStr">
        <is>
          <t>KRONOBERGS LÄN</t>
        </is>
      </c>
      <c r="G560" t="inlineStr">
        <is>
          <t>ALVESTA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46266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57121-2022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44895</v>
      </c>
      <c r="E562" s="1" t="n">
        <v>46266</v>
      </c>
      <c r="F562" t="inlineStr">
        <is>
          <t>KRONOBERGS LÄN</t>
        </is>
      </c>
      <c r="G562" t="inlineStr">
        <is>
          <t>ALVESTA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45519</v>
      </c>
      <c r="E563" s="1" t="n">
        <v>46266</v>
      </c>
      <c r="F563" t="inlineStr">
        <is>
          <t>KRONOBERGS LÄN</t>
        </is>
      </c>
      <c r="G563" t="inlineStr">
        <is>
          <t>ALVESTA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27032-2026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46185</v>
      </c>
      <c r="E564" s="1" t="n">
        <v>46266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45763</v>
      </c>
      <c r="E565" s="1" t="n">
        <v>46266</v>
      </c>
      <c r="F565" t="inlineStr">
        <is>
          <t>KRONOBERGS LÄN</t>
        </is>
      </c>
      <c r="G565" t="inlineStr">
        <is>
          <t>ALVESTA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45336</v>
      </c>
      <c r="E566" s="1" t="n">
        <v>46266</v>
      </c>
      <c r="F566" t="inlineStr">
        <is>
          <t>KRONOBERGS LÄN</t>
        </is>
      </c>
      <c r="G566" t="inlineStr">
        <is>
          <t>ALVESTA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72318-2021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44545</v>
      </c>
      <c r="E567" s="1" t="n">
        <v>46266</v>
      </c>
      <c r="F567" t="inlineStr">
        <is>
          <t>KRONOBERGS LÄN</t>
        </is>
      </c>
      <c r="G567" t="inlineStr">
        <is>
          <t>ALVESTA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45153</v>
      </c>
      <c r="E568" s="1" t="n">
        <v>46266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45153</v>
      </c>
      <c r="E569" s="1" t="n">
        <v>46266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46266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46266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46196</v>
      </c>
      <c r="E572" s="1" t="n">
        <v>46266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45398</v>
      </c>
      <c r="E573" s="1" t="n">
        <v>46266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46238</v>
      </c>
      <c r="E574" s="1" t="n">
        <v>46266</v>
      </c>
      <c r="F574" t="inlineStr">
        <is>
          <t>KRONOBERGS LÄN</t>
        </is>
      </c>
      <c r="G574" t="inlineStr">
        <is>
          <t>ALVESTA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46266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46266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46266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46266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45653</v>
      </c>
      <c r="E579" s="1" t="n">
        <v>46266</v>
      </c>
      <c r="F579" t="inlineStr">
        <is>
          <t>KRONOBERGS LÄN</t>
        </is>
      </c>
      <c r="G579" t="inlineStr">
        <is>
          <t>ALVESTA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46266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46266</v>
      </c>
      <c r="F581" t="inlineStr">
        <is>
          <t>KRONOBERGS LÄN</t>
        </is>
      </c>
      <c r="G581" t="inlineStr">
        <is>
          <t>ALVESTA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46266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46266</v>
      </c>
      <c r="F583" t="inlineStr">
        <is>
          <t>KRONOBERGS LÄN</t>
        </is>
      </c>
      <c r="G583" t="inlineStr">
        <is>
          <t>ALVESTA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46266</v>
      </c>
      <c r="F584" t="inlineStr">
        <is>
          <t>KRONOBERGS LÄN</t>
        </is>
      </c>
      <c r="G584" t="inlineStr">
        <is>
          <t>ALVESTA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46266</v>
      </c>
      <c r="F585" t="inlineStr">
        <is>
          <t>KRONOBERGS LÄN</t>
        </is>
      </c>
      <c r="G585" t="inlineStr">
        <is>
          <t>ALVESTA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45328</v>
      </c>
      <c r="E586" s="1" t="n">
        <v>46266</v>
      </c>
      <c r="F586" t="inlineStr">
        <is>
          <t>KRONOBERGS LÄN</t>
        </is>
      </c>
      <c r="G586" t="inlineStr">
        <is>
          <t>ALVESTA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37278-2024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45540</v>
      </c>
      <c r="E587" s="1" t="n">
        <v>46266</v>
      </c>
      <c r="F587" t="inlineStr">
        <is>
          <t>KRONOBERGS LÄN</t>
        </is>
      </c>
      <c r="G587" t="inlineStr">
        <is>
          <t>ALVESTA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46241</v>
      </c>
      <c r="E588" s="1" t="n">
        <v>46266</v>
      </c>
      <c r="F588" t="inlineStr">
        <is>
          <t>KRONOBERGS LÄN</t>
        </is>
      </c>
      <c r="G588" t="inlineStr">
        <is>
          <t>ALVESTA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46266</v>
      </c>
      <c r="F589" t="inlineStr">
        <is>
          <t>KRONOBERGS LÄN</t>
        </is>
      </c>
      <c r="G589" t="inlineStr">
        <is>
          <t>ALVESTA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46266</v>
      </c>
      <c r="F590" t="inlineStr">
        <is>
          <t>KRONOBERGS LÄN</t>
        </is>
      </c>
      <c r="G590" t="inlineStr">
        <is>
          <t>ALVESTA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32952-2026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46266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29763-2026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46266</v>
      </c>
      <c r="F592" t="inlineStr">
        <is>
          <t>KRONOBERGS LÄN</t>
        </is>
      </c>
      <c r="G592" t="inlineStr">
        <is>
          <t>ALVESTA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46266</v>
      </c>
      <c r="F593" t="inlineStr">
        <is>
          <t>KRONOBERGS LÄN</t>
        </is>
      </c>
      <c r="G593" t="inlineStr">
        <is>
          <t>ALVESTA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46266</v>
      </c>
      <c r="F594" t="inlineStr">
        <is>
          <t>KRONOBERGS LÄN</t>
        </is>
      </c>
      <c r="G594" t="inlineStr">
        <is>
          <t>ALVESTA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46266</v>
      </c>
      <c r="F595" t="inlineStr">
        <is>
          <t>KRONOBERGS LÄN</t>
        </is>
      </c>
      <c r="G595" t="inlineStr">
        <is>
          <t>ALVESTA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46266</v>
      </c>
      <c r="F596" t="inlineStr">
        <is>
          <t>KRONOBERGS LÄN</t>
        </is>
      </c>
      <c r="G596" t="inlineStr">
        <is>
          <t>ALVESTA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46266</v>
      </c>
      <c r="F597" t="inlineStr">
        <is>
          <t>KRONOBERGS LÄN</t>
        </is>
      </c>
      <c r="G597" t="inlineStr">
        <is>
          <t>ALVESTA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30314-2026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46266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33946-2026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46266</v>
      </c>
      <c r="F599" t="inlineStr">
        <is>
          <t>KRONOBERGS LÄN</t>
        </is>
      </c>
      <c r="G599" t="inlineStr">
        <is>
          <t>ALVESTA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46266</v>
      </c>
      <c r="F600" t="inlineStr">
        <is>
          <t>KRONOBERGS LÄN</t>
        </is>
      </c>
      <c r="G600" t="inlineStr">
        <is>
          <t>ALVESTA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46266</v>
      </c>
      <c r="F601" t="inlineStr">
        <is>
          <t>KRONOBERGS LÄN</t>
        </is>
      </c>
      <c r="G601" t="inlineStr">
        <is>
          <t>ALVESTA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34968-2026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46259</v>
      </c>
      <c r="E602" s="1" t="n">
        <v>46266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46266</v>
      </c>
      <c r="F603" t="inlineStr">
        <is>
          <t>KRONOBERGS LÄN</t>
        </is>
      </c>
      <c r="G603" t="inlineStr">
        <is>
          <t>ALVESTA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3838-2022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44743</v>
      </c>
      <c r="E604" s="1" t="n">
        <v>46266</v>
      </c>
      <c r="F604" t="inlineStr">
        <is>
          <t>KRONOBERGS LÄN</t>
        </is>
      </c>
      <c r="G604" t="inlineStr">
        <is>
          <t>ALVESTA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572-2024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45350</v>
      </c>
      <c r="E605" s="1" t="n">
        <v>46266</v>
      </c>
      <c r="F605" t="inlineStr">
        <is>
          <t>KRONOBERGS LÄN</t>
        </is>
      </c>
      <c r="G605" t="inlineStr">
        <is>
          <t>ALVESTA</t>
        </is>
      </c>
      <c r="I605" t="n">
        <v>32.7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6869-2022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44903</v>
      </c>
      <c r="E606" s="1" t="n">
        <v>46266</v>
      </c>
      <c r="F606" t="inlineStr">
        <is>
          <t>KRONOBERGS LÄN</t>
        </is>
      </c>
      <c r="G606" t="inlineStr">
        <is>
          <t>ALVESTA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46266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46266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46266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46266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46266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46266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46266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46266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46266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1569-2022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44643</v>
      </c>
      <c r="E616" s="1" t="n">
        <v>46266</v>
      </c>
      <c r="F616" t="inlineStr">
        <is>
          <t>KRONOBERGS LÄN</t>
        </is>
      </c>
      <c r="G616" t="inlineStr">
        <is>
          <t>ALVESTA</t>
        </is>
      </c>
      <c r="I616" t="n">
        <v>21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46266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46266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46266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46266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46266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46266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46266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46266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46266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46266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46266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46266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46266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46266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46266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46266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46266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2026-09-01T02:09:27Z</dcterms:created>
  <dcterms:modified xmlns:dcterms="http://purl.org/dc/terms/" xmlns:xsi="http://www.w3.org/2001/XMLSchema-instance" xsi:type="dcterms:W3CDTF">2026-09-01T02:09:28Z</dcterms:modified>
</cp:coreProperties>
</file>