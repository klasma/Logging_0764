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46304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46304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46304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46304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46304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46304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46304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46304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46304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46304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46304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46304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46304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46304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A 1811-2025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46304</v>
      </c>
      <c r="F29" t="inlineStr">
        <is>
          <t>KRONOBERGS LÄN</t>
        </is>
      </c>
      <c r="G29" t="inlineStr">
        <is>
          <t>ALVESTA</t>
        </is>
      </c>
      <c r="H29" t="inlineStr">
        <is>
          <t>Kyrkan</t>
        </is>
      </c>
      <c r="I29" t="n">
        <v>2.3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Blomkålssvamp
Spillkråka</t>
        </is>
      </c>
      <c r="W29">
        <f>HYPERLINK("https://klasma.github.io/Logging_0764/artfynd/A 1811-2025 artfynd.xlsx", "A 1811-2025")</f>
        <v/>
      </c>
      <c r="X29">
        <f>HYPERLINK("https://klasma.github.io/Logging_0764/kartor/A 1811-2025 karta.png", "A 1811-2025")</f>
        <v/>
      </c>
      <c r="Y29">
        <f>HYPERLINK("https://klasma.github.io/Logging_0764/kartor_geotiff/A 1811-2025 georefererad karta.tif", "A 1811-2025")</f>
        <v/>
      </c>
      <c r="AA29">
        <f>HYPERLINK("https://klasma.github.io/Logging_0764/klagomål/A 1811-2025 FSC-klagomål.docx", "A 1811-2025")</f>
        <v/>
      </c>
      <c r="AB29">
        <f>HYPERLINK("https://klasma.github.io/Logging_0764/klagomålsmail/A 1811-2025 FSC-klagomål mail.docx", "A 1811-2025")</f>
        <v/>
      </c>
      <c r="AC29">
        <f>HYPERLINK("https://klasma.github.io/Logging_0764/tillsyn/A 1811-2025 tillsynsbegäran.docx", "A 1811-2025")</f>
        <v/>
      </c>
      <c r="AD29">
        <f>HYPERLINK("https://klasma.github.io/Logging_0764/tillsynsmail/A 1811-2025 tillsynsbegäran mail.docx", "A 1811-2025")</f>
        <v/>
      </c>
      <c r="AE29">
        <f>HYPERLINK("https://klasma.github.io/Logging_0764/fåglar/A 1811-2025 prioriterade fågelarter.docx", "A 1811-2025")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46304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46304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A 35257-2026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46304</v>
      </c>
      <c r="F32" t="inlineStr">
        <is>
          <t>KRONOBERGS LÄN</t>
        </is>
      </c>
      <c r="G32" t="inlineStr">
        <is>
          <t>ALVESTA</t>
        </is>
      </c>
      <c r="I32" t="n">
        <v>3.5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Sotvaxskivling
Västlig hakmossa</t>
        </is>
      </c>
      <c r="W32">
        <f>HYPERLINK("https://klasma.github.io/Logging_0764/artfynd/A 35257-2026 artfynd.xlsx", "A 35257-2026")</f>
        <v/>
      </c>
      <c r="X32">
        <f>HYPERLINK("https://klasma.github.io/Logging_0764/kartor/A 35257-2026 karta.png", "A 35257-2026")</f>
        <v/>
      </c>
      <c r="Y32">
        <f>HYPERLINK("https://klasma.github.io/Logging_0764/kartor_geotiff/A 35257-2026 georefererad karta.tif", "A 35257-2026")</f>
        <v/>
      </c>
      <c r="AA32">
        <f>HYPERLINK("https://klasma.github.io/Logging_0764/klagomål/A 35257-2026 FSC-klagomål.docx", "A 35257-2026")</f>
        <v/>
      </c>
      <c r="AB32">
        <f>HYPERLINK("https://klasma.github.io/Logging_0764/klagomålsmail/A 35257-2026 FSC-klagomål mail.docx", "A 35257-2026")</f>
        <v/>
      </c>
      <c r="AC32">
        <f>HYPERLINK("https://klasma.github.io/Logging_0764/tillsyn/A 35257-2026 tillsynsbegäran.docx", "A 35257-2026")</f>
        <v/>
      </c>
      <c r="AD32">
        <f>HYPERLINK("https://klasma.github.io/Logging_0764/tillsynsmail/A 35257-2026 tillsynsbegäran mail.docx", "A 35257-2026")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46304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46304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46304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46304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46304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11669-2024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46304</v>
      </c>
      <c r="F38" t="inlineStr">
        <is>
          <t>KRONOBERGS LÄN</t>
        </is>
      </c>
      <c r="G38" t="inlineStr">
        <is>
          <t>ALVESTA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Skuggmossa</t>
        </is>
      </c>
      <c r="W38">
        <f>HYPERLINK("https://klasma.github.io/Logging_0764/artfynd/A 11669-2024 artfynd.xlsx", "A 11669-2024")</f>
        <v/>
      </c>
      <c r="X38">
        <f>HYPERLINK("https://klasma.github.io/Logging_0764/kartor/A 11669-2024 karta.png", "A 11669-2024")</f>
        <v/>
      </c>
      <c r="Y38">
        <f>HYPERLINK("https://klasma.github.io/Logging_0764/kartor_geotiff/A 11669-2024 georefererad karta.tif", "A 11669-2024")</f>
        <v/>
      </c>
      <c r="AA38">
        <f>HYPERLINK("https://klasma.github.io/Logging_0764/klagomål/A 11669-2024 FSC-klagomål.docx", "A 11669-2024")</f>
        <v/>
      </c>
      <c r="AB38">
        <f>HYPERLINK("https://klasma.github.io/Logging_0764/klagomålsmail/A 11669-2024 FSC-klagomål mail.docx", "A 11669-2024")</f>
        <v/>
      </c>
      <c r="AC38">
        <f>HYPERLINK("https://klasma.github.io/Logging_0764/tillsyn/A 11669-2024 tillsynsbegäran.docx", "A 11669-2024")</f>
        <v/>
      </c>
      <c r="AD38">
        <f>HYPERLINK("https://klasma.github.io/Logging_0764/tillsynsmail/A 11669-2024 tillsynsbegäran mail.docx", "A 11669-2024")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46304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46304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46304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46304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46304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46304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46304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46304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46304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46304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46304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46304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46304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46304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46304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46304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46304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46304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46304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46304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46304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46304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46304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46304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46304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46304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46304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46304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46304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46304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46304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46304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46304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46304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46304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46304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46304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46304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46304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46304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46304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46304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46304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46304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46304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46304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46304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46304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46304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46304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46304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46304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46304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46304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46304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46304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46304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46304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46304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46304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46304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46304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46304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46304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46304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44656</v>
      </c>
      <c r="E105" s="1" t="n">
        <v>46304</v>
      </c>
      <c r="F105" t="inlineStr">
        <is>
          <t>KRONOBERGS LÄN</t>
        </is>
      </c>
      <c r="G105" t="inlineStr">
        <is>
          <t>ALVESTA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45338</v>
      </c>
      <c r="E106" s="1" t="n">
        <v>46304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46304</v>
      </c>
      <c r="F107" t="inlineStr">
        <is>
          <t>KRONOBERGS LÄN</t>
        </is>
      </c>
      <c r="G107" t="inlineStr">
        <is>
          <t>ALVESTA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46304</v>
      </c>
      <c r="F108" t="inlineStr">
        <is>
          <t>KRONOBERGS LÄN</t>
        </is>
      </c>
      <c r="G108" t="inlineStr">
        <is>
          <t>ALVESTA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46304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46304</v>
      </c>
      <c r="F110" t="inlineStr">
        <is>
          <t>KRONOBERGS LÄN</t>
        </is>
      </c>
      <c r="G110" t="inlineStr">
        <is>
          <t>ALVESTA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46304</v>
      </c>
      <c r="F111" t="inlineStr">
        <is>
          <t>KRONOBERGS LÄN</t>
        </is>
      </c>
      <c r="G111" t="inlineStr">
        <is>
          <t>ALVESTA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46304</v>
      </c>
      <c r="F112" t="inlineStr">
        <is>
          <t>KRONOBERGS LÄN</t>
        </is>
      </c>
      <c r="G112" t="inlineStr">
        <is>
          <t>ALVESTA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44569</v>
      </c>
      <c r="E113" s="1" t="n">
        <v>46304</v>
      </c>
      <c r="F113" t="inlineStr">
        <is>
          <t>KRONOBERGS LÄN</t>
        </is>
      </c>
      <c r="G113" t="inlineStr">
        <is>
          <t>ALVESTA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44783</v>
      </c>
      <c r="E114" s="1" t="n">
        <v>46304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46304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46304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44901</v>
      </c>
      <c r="E117" s="1" t="n">
        <v>46304</v>
      </c>
      <c r="F117" t="inlineStr">
        <is>
          <t>KRONOBERGS LÄN</t>
        </is>
      </c>
      <c r="G117" t="inlineStr">
        <is>
          <t>ALVESTA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44783</v>
      </c>
      <c r="E118" s="1" t="n">
        <v>46304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46304</v>
      </c>
      <c r="F119" t="inlineStr">
        <is>
          <t>KRONOBERGS LÄN</t>
        </is>
      </c>
      <c r="G119" t="inlineStr">
        <is>
          <t>ALVESTA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46304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46304</v>
      </c>
      <c r="F121" t="inlineStr">
        <is>
          <t>KRONOBERGS LÄN</t>
        </is>
      </c>
      <c r="G121" t="inlineStr">
        <is>
          <t>ALVESTA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46304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46304</v>
      </c>
      <c r="F123" t="inlineStr">
        <is>
          <t>KRONOBERGS LÄN</t>
        </is>
      </c>
      <c r="G123" t="inlineStr">
        <is>
          <t>ALVESTA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46304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44606</v>
      </c>
      <c r="E125" s="1" t="n">
        <v>46304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46304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46304</v>
      </c>
      <c r="F127" t="inlineStr">
        <is>
          <t>KRONOBERGS LÄN</t>
        </is>
      </c>
      <c r="G127" t="inlineStr">
        <is>
          <t>ALVESTA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45518</v>
      </c>
      <c r="E128" s="1" t="n">
        <v>46304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45632</v>
      </c>
      <c r="E129" s="1" t="n">
        <v>46304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46304</v>
      </c>
      <c r="F130" t="inlineStr">
        <is>
          <t>KRONOBERGS LÄN</t>
        </is>
      </c>
      <c r="G130" t="inlineStr">
        <is>
          <t>ALVESTA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44754</v>
      </c>
      <c r="E131" s="1" t="n">
        <v>46304</v>
      </c>
      <c r="F131" t="inlineStr">
        <is>
          <t>KRONOBERGS LÄN</t>
        </is>
      </c>
      <c r="G131" t="inlineStr">
        <is>
          <t>ALVESTA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46304</v>
      </c>
      <c r="F132" t="inlineStr">
        <is>
          <t>KRONOBERGS LÄN</t>
        </is>
      </c>
      <c r="G132" t="inlineStr">
        <is>
          <t>ALVESTA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46304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46304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45135</v>
      </c>
      <c r="E135" s="1" t="n">
        <v>46304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46304</v>
      </c>
      <c r="F136" t="inlineStr">
        <is>
          <t>KRONOBERGS LÄN</t>
        </is>
      </c>
      <c r="G136" t="inlineStr">
        <is>
          <t>ALVESTA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46304</v>
      </c>
      <c r="F137" t="inlineStr">
        <is>
          <t>KRONOBERGS LÄN</t>
        </is>
      </c>
      <c r="G137" t="inlineStr">
        <is>
          <t>ALVESTA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60487-2023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45259</v>
      </c>
      <c r="E138" s="1" t="n">
        <v>46304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44970</v>
      </c>
      <c r="E139" s="1" t="n">
        <v>46304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46304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46304</v>
      </c>
      <c r="F141" t="inlineStr">
        <is>
          <t>KRONOBERGS LÄN</t>
        </is>
      </c>
      <c r="G141" t="inlineStr">
        <is>
          <t>ALVESTA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46304</v>
      </c>
      <c r="F142" t="inlineStr">
        <is>
          <t>KRONOBERGS LÄN</t>
        </is>
      </c>
      <c r="G142" t="inlineStr">
        <is>
          <t>ALVESTA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46304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46304</v>
      </c>
      <c r="F144" t="inlineStr">
        <is>
          <t>KRONOBERGS LÄN</t>
        </is>
      </c>
      <c r="G144" t="inlineStr">
        <is>
          <t>ALVESTA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46304</v>
      </c>
      <c r="F145" t="inlineStr">
        <is>
          <t>KRONOBERGS LÄN</t>
        </is>
      </c>
      <c r="G145" t="inlineStr">
        <is>
          <t>ALVESTA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46304</v>
      </c>
      <c r="F146" t="inlineStr">
        <is>
          <t>KRONOBERGS LÄN</t>
        </is>
      </c>
      <c r="G146" t="inlineStr">
        <is>
          <t>ALVESTA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46304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46304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45574</v>
      </c>
      <c r="E149" s="1" t="n">
        <v>46304</v>
      </c>
      <c r="F149" t="inlineStr">
        <is>
          <t>KRONOBERGS LÄN</t>
        </is>
      </c>
      <c r="G149" t="inlineStr">
        <is>
          <t>ALVESTA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44504</v>
      </c>
      <c r="E150" s="1" t="n">
        <v>46304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46304</v>
      </c>
      <c r="F151" t="inlineStr">
        <is>
          <t>KRONOBERGS LÄN</t>
        </is>
      </c>
      <c r="G151" t="inlineStr">
        <is>
          <t>ALVESTA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46304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46304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46304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46304</v>
      </c>
      <c r="F155" t="inlineStr">
        <is>
          <t>KRONOBERGS LÄN</t>
        </is>
      </c>
      <c r="G155" t="inlineStr">
        <is>
          <t>ALVESTA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46304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46304</v>
      </c>
      <c r="F157" t="inlineStr">
        <is>
          <t>KRONOBERGS LÄN</t>
        </is>
      </c>
      <c r="G157" t="inlineStr">
        <is>
          <t>ALVESTA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46304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46304</v>
      </c>
      <c r="F159" t="inlineStr">
        <is>
          <t>KRONOBERGS LÄN</t>
        </is>
      </c>
      <c r="G159" t="inlineStr">
        <is>
          <t>ALVESTA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46304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57118-2023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45245</v>
      </c>
      <c r="E161" s="1" t="n">
        <v>46304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46304</v>
      </c>
      <c r="F162" t="inlineStr">
        <is>
          <t>KRONOBERGS LÄN</t>
        </is>
      </c>
      <c r="G162" t="inlineStr">
        <is>
          <t>ALVESTA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46304</v>
      </c>
      <c r="F163" t="inlineStr">
        <is>
          <t>KRONOBERGS LÄN</t>
        </is>
      </c>
      <c r="G163" t="inlineStr">
        <is>
          <t>ALVESTA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45345</v>
      </c>
      <c r="E164" s="1" t="n">
        <v>46304</v>
      </c>
      <c r="F164" t="inlineStr">
        <is>
          <t>KRONOBERGS LÄN</t>
        </is>
      </c>
      <c r="G164" t="inlineStr">
        <is>
          <t>ALVESTA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45078</v>
      </c>
      <c r="E165" s="1" t="n">
        <v>46304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46304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60157-2024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46304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25261-2024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45462</v>
      </c>
      <c r="E168" s="1" t="n">
        <v>46304</v>
      </c>
      <c r="F168" t="inlineStr">
        <is>
          <t>KRONOBERGS LÄN</t>
        </is>
      </c>
      <c r="G168" t="inlineStr">
        <is>
          <t>ALVESTA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45673</v>
      </c>
      <c r="E169" s="1" t="n">
        <v>46304</v>
      </c>
      <c r="F169" t="inlineStr">
        <is>
          <t>KRONOBERGS LÄN</t>
        </is>
      </c>
      <c r="G169" t="inlineStr">
        <is>
          <t>ALVESTA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46304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46304</v>
      </c>
      <c r="F171" t="inlineStr">
        <is>
          <t>KRONOBERGS LÄN</t>
        </is>
      </c>
      <c r="G171" t="inlineStr">
        <is>
          <t>ALVESTA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46304</v>
      </c>
      <c r="F172" t="inlineStr">
        <is>
          <t>KRONOBERGS LÄN</t>
        </is>
      </c>
      <c r="G172" t="inlineStr">
        <is>
          <t>ALVESTA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44948</v>
      </c>
      <c r="E173" s="1" t="n">
        <v>46304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46304</v>
      </c>
      <c r="F174" t="inlineStr">
        <is>
          <t>KRONOBERGS LÄN</t>
        </is>
      </c>
      <c r="G174" t="inlineStr">
        <is>
          <t>ALVESTA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46304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14941-2023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46304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46304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46304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46304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46304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46304</v>
      </c>
      <c r="F181" t="inlineStr">
        <is>
          <t>KRONOBERGS LÄN</t>
        </is>
      </c>
      <c r="G181" t="inlineStr">
        <is>
          <t>ALVESTA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46304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45852</v>
      </c>
      <c r="E183" s="1" t="n">
        <v>46304</v>
      </c>
      <c r="F183" t="inlineStr">
        <is>
          <t>KRONOBERGS LÄN</t>
        </is>
      </c>
      <c r="G183" t="inlineStr">
        <is>
          <t>ALVESTA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46304</v>
      </c>
      <c r="F184" t="inlineStr">
        <is>
          <t>KRONOBERGS LÄN</t>
        </is>
      </c>
      <c r="G184" t="inlineStr">
        <is>
          <t>ALVESTA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12258-2026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46087</v>
      </c>
      <c r="E185" s="1" t="n">
        <v>46304</v>
      </c>
      <c r="F185" t="inlineStr">
        <is>
          <t>KRONOBERGS LÄN</t>
        </is>
      </c>
      <c r="G185" t="inlineStr">
        <is>
          <t>ALVESTA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46304</v>
      </c>
      <c r="F186" t="inlineStr">
        <is>
          <t>KRONOBERGS LÄN</t>
        </is>
      </c>
      <c r="G186" t="inlineStr">
        <is>
          <t>ALVESTA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46304</v>
      </c>
      <c r="F187" t="inlineStr">
        <is>
          <t>KRONOBERGS LÄN</t>
        </is>
      </c>
      <c r="G187" t="inlineStr">
        <is>
          <t>ALVESTA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45593</v>
      </c>
      <c r="E188" s="1" t="n">
        <v>46304</v>
      </c>
      <c r="F188" t="inlineStr">
        <is>
          <t>KRONOBERGS LÄN</t>
        </is>
      </c>
      <c r="G188" t="inlineStr">
        <is>
          <t>ALVESTA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60202-2021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46304</v>
      </c>
      <c r="F189" t="inlineStr">
        <is>
          <t>KRONOBERGS LÄN</t>
        </is>
      </c>
      <c r="G189" t="inlineStr">
        <is>
          <t>ALVESTA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46304</v>
      </c>
      <c r="F190" t="inlineStr">
        <is>
          <t>KRONOBERGS LÄN</t>
        </is>
      </c>
      <c r="G190" t="inlineStr">
        <is>
          <t>ALVESTA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46304</v>
      </c>
      <c r="F191" t="inlineStr">
        <is>
          <t>KRONOBERGS LÄN</t>
        </is>
      </c>
      <c r="G191" t="inlineStr">
        <is>
          <t>ALVESTA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46304</v>
      </c>
      <c r="F192" t="inlineStr">
        <is>
          <t>KRONOBERGS LÄN</t>
        </is>
      </c>
      <c r="G192" t="inlineStr">
        <is>
          <t>ALVESTA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46304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46304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46304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45868</v>
      </c>
      <c r="E196" s="1" t="n">
        <v>46304</v>
      </c>
      <c r="F196" t="inlineStr">
        <is>
          <t>KRONOBERGS LÄN</t>
        </is>
      </c>
      <c r="G196" t="inlineStr">
        <is>
          <t>ALVESTA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46304</v>
      </c>
      <c r="F197" t="inlineStr">
        <is>
          <t>KRONOBERGS LÄN</t>
        </is>
      </c>
      <c r="G197" t="inlineStr">
        <is>
          <t>ALVESTA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46304</v>
      </c>
      <c r="F198" t="inlineStr">
        <is>
          <t>KRONOBERGS LÄN</t>
        </is>
      </c>
      <c r="G198" t="inlineStr">
        <is>
          <t>ALVESTA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46304</v>
      </c>
      <c r="F199" t="inlineStr">
        <is>
          <t>KRONOBERGS LÄN</t>
        </is>
      </c>
      <c r="G199" t="inlineStr">
        <is>
          <t>ALVESTA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46304</v>
      </c>
      <c r="F200" t="inlineStr">
        <is>
          <t>KRONOBERGS LÄN</t>
        </is>
      </c>
      <c r="G200" t="inlineStr">
        <is>
          <t>ALVESTA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46304</v>
      </c>
      <c r="F201" t="inlineStr">
        <is>
          <t>KRONOBERGS LÄN</t>
        </is>
      </c>
      <c r="G201" t="inlineStr">
        <is>
          <t>ALVESTA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46304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46304</v>
      </c>
      <c r="F203" t="inlineStr">
        <is>
          <t>KRONOBERGS LÄN</t>
        </is>
      </c>
      <c r="G203" t="inlineStr">
        <is>
          <t>ALVESTA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45875</v>
      </c>
      <c r="E204" s="1" t="n">
        <v>46304</v>
      </c>
      <c r="F204" t="inlineStr">
        <is>
          <t>KRONOBERGS LÄN</t>
        </is>
      </c>
      <c r="G204" t="inlineStr">
        <is>
          <t>ALVESTA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46304</v>
      </c>
      <c r="F205" t="inlineStr">
        <is>
          <t>KRONOBERGS LÄN</t>
        </is>
      </c>
      <c r="G205" t="inlineStr">
        <is>
          <t>ALVESTA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46304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46304</v>
      </c>
      <c r="F207" t="inlineStr">
        <is>
          <t>KRONOBERGS LÄN</t>
        </is>
      </c>
      <c r="G207" t="inlineStr">
        <is>
          <t>ALVESTA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45105</v>
      </c>
      <c r="E208" s="1" t="n">
        <v>46304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45079</v>
      </c>
      <c r="E209" s="1" t="n">
        <v>46304</v>
      </c>
      <c r="F209" t="inlineStr">
        <is>
          <t>KRONOBERGS LÄN</t>
        </is>
      </c>
      <c r="G209" t="inlineStr">
        <is>
          <t>ALVESTA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67331-2021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44523</v>
      </c>
      <c r="E210" s="1" t="n">
        <v>46304</v>
      </c>
      <c r="F210" t="inlineStr">
        <is>
          <t>KRONOBERGS LÄN</t>
        </is>
      </c>
      <c r="G210" t="inlineStr">
        <is>
          <t>ALVESTA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3118-2025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45678</v>
      </c>
      <c r="E211" s="1" t="n">
        <v>46304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45362</v>
      </c>
      <c r="E212" s="1" t="n">
        <v>46304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45336</v>
      </c>
      <c r="E213" s="1" t="n">
        <v>46304</v>
      </c>
      <c r="F213" t="inlineStr">
        <is>
          <t>KRONOBERGS LÄN</t>
        </is>
      </c>
      <c r="G213" t="inlineStr">
        <is>
          <t>ALVESTA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46304</v>
      </c>
      <c r="F214" t="inlineStr">
        <is>
          <t>KRONOBERGS LÄN</t>
        </is>
      </c>
      <c r="G214" t="inlineStr">
        <is>
          <t>ALVESTA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45664</v>
      </c>
      <c r="E215" s="1" t="n">
        <v>46304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46304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45517</v>
      </c>
      <c r="E217" s="1" t="n">
        <v>46304</v>
      </c>
      <c r="F217" t="inlineStr">
        <is>
          <t>KRONOBERGS LÄN</t>
        </is>
      </c>
      <c r="G217" t="inlineStr">
        <is>
          <t>ALVESTA</t>
        </is>
      </c>
      <c r="H217" t="inlineStr">
        <is>
          <t>Kyrkan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46304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46304</v>
      </c>
      <c r="F219" t="inlineStr">
        <is>
          <t>KRONOBERGS LÄN</t>
        </is>
      </c>
      <c r="G219" t="inlineStr">
        <is>
          <t>ALVESTA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60478-2023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45259</v>
      </c>
      <c r="E220" s="1" t="n">
        <v>46304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44838</v>
      </c>
      <c r="E221" s="1" t="n">
        <v>46304</v>
      </c>
      <c r="F221" t="inlineStr">
        <is>
          <t>KRONOBERGS LÄN</t>
        </is>
      </c>
      <c r="G221" t="inlineStr">
        <is>
          <t>ALVESTA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46304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46304</v>
      </c>
      <c r="F223" t="inlineStr">
        <is>
          <t>KRONOBERGS LÄN</t>
        </is>
      </c>
      <c r="G223" t="inlineStr">
        <is>
          <t>ALVESTA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46304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46304</v>
      </c>
      <c r="F225" t="inlineStr">
        <is>
          <t>KRONOBERGS LÄN</t>
        </is>
      </c>
      <c r="G225" t="inlineStr">
        <is>
          <t>ALVESTA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46304</v>
      </c>
      <c r="F226" t="inlineStr">
        <is>
          <t>KRONOBERGS LÄN</t>
        </is>
      </c>
      <c r="G226" t="inlineStr">
        <is>
          <t>ALVESTA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13810-2026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46304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46304</v>
      </c>
      <c r="F228" t="inlineStr">
        <is>
          <t>KRONOBERGS LÄN</t>
        </is>
      </c>
      <c r="G228" t="inlineStr">
        <is>
          <t>ALVESTA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46304</v>
      </c>
      <c r="F229" t="inlineStr">
        <is>
          <t>KRONOBERGS LÄN</t>
        </is>
      </c>
      <c r="G229" t="inlineStr">
        <is>
          <t>ALVESTA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46304</v>
      </c>
      <c r="F230" t="inlineStr">
        <is>
          <t>KRONOBERGS LÄN</t>
        </is>
      </c>
      <c r="G230" t="inlineStr">
        <is>
          <t>ALVESTA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50733-2023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45217</v>
      </c>
      <c r="E231" s="1" t="n">
        <v>46304</v>
      </c>
      <c r="F231" t="inlineStr">
        <is>
          <t>KRONOBERGS LÄN</t>
        </is>
      </c>
      <c r="G231" t="inlineStr">
        <is>
          <t>ALVESTA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46304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45462</v>
      </c>
      <c r="E233" s="1" t="n">
        <v>46304</v>
      </c>
      <c r="F233" t="inlineStr">
        <is>
          <t>KRONOBERGS LÄN</t>
        </is>
      </c>
      <c r="G233" t="inlineStr">
        <is>
          <t>ALVESTA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44528-2025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45916</v>
      </c>
      <c r="E234" s="1" t="n">
        <v>46304</v>
      </c>
      <c r="F234" t="inlineStr">
        <is>
          <t>KRONOBERGS LÄN</t>
        </is>
      </c>
      <c r="G234" t="inlineStr">
        <is>
          <t>ALVESTA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46304</v>
      </c>
      <c r="F235" t="inlineStr">
        <is>
          <t>KRONOBERGS LÄN</t>
        </is>
      </c>
      <c r="G235" t="inlineStr">
        <is>
          <t>ALVESTA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45095</v>
      </c>
      <c r="E236" s="1" t="n">
        <v>46304</v>
      </c>
      <c r="F236" t="inlineStr">
        <is>
          <t>KRONOBERGS LÄN</t>
        </is>
      </c>
      <c r="G236" t="inlineStr">
        <is>
          <t>ALVESTA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46304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45563</v>
      </c>
      <c r="E238" s="1" t="n">
        <v>46304</v>
      </c>
      <c r="F238" t="inlineStr">
        <is>
          <t>KRONOBERGS LÄN</t>
        </is>
      </c>
      <c r="G238" t="inlineStr">
        <is>
          <t>ALVESTA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46304</v>
      </c>
      <c r="F239" t="inlineStr">
        <is>
          <t>KRONOBERGS LÄN</t>
        </is>
      </c>
      <c r="G239" t="inlineStr">
        <is>
          <t>ALVESTA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45106</v>
      </c>
      <c r="E240" s="1" t="n">
        <v>46304</v>
      </c>
      <c r="F240" t="inlineStr">
        <is>
          <t>KRONOBERGS LÄN</t>
        </is>
      </c>
      <c r="G240" t="inlineStr">
        <is>
          <t>ALVESTA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46304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45860</v>
      </c>
      <c r="E242" s="1" t="n">
        <v>46304</v>
      </c>
      <c r="F242" t="inlineStr">
        <is>
          <t>KRONOBERGS LÄN</t>
        </is>
      </c>
      <c r="G242" t="inlineStr">
        <is>
          <t>ALVESTA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46304</v>
      </c>
      <c r="F243" t="inlineStr">
        <is>
          <t>KRONOBERGS LÄN</t>
        </is>
      </c>
      <c r="G243" t="inlineStr">
        <is>
          <t>ALVESTA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46304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45390</v>
      </c>
      <c r="E245" s="1" t="n">
        <v>46304</v>
      </c>
      <c r="F245" t="inlineStr">
        <is>
          <t>KRONOBERGS LÄN</t>
        </is>
      </c>
      <c r="G245" t="inlineStr">
        <is>
          <t>ALVESTA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46304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56552-2021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44480</v>
      </c>
      <c r="E247" s="1" t="n">
        <v>46304</v>
      </c>
      <c r="F247" t="inlineStr">
        <is>
          <t>KRONOBERGS LÄN</t>
        </is>
      </c>
      <c r="G247" t="inlineStr">
        <is>
          <t>ALVESTA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46304</v>
      </c>
      <c r="F248" t="inlineStr">
        <is>
          <t>KRONOBERGS LÄN</t>
        </is>
      </c>
      <c r="G248" t="inlineStr">
        <is>
          <t>ALVESTA</t>
        </is>
      </c>
      <c r="H248" t="inlineStr">
        <is>
          <t>Kommuner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46304</v>
      </c>
      <c r="F249" t="inlineStr">
        <is>
          <t>KRONOBERGS LÄN</t>
        </is>
      </c>
      <c r="G249" t="inlineStr">
        <is>
          <t>ALVESTA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46304</v>
      </c>
      <c r="F250" t="inlineStr">
        <is>
          <t>KRONOBERGS LÄN</t>
        </is>
      </c>
      <c r="G250" t="inlineStr">
        <is>
          <t>ALVESTA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45086</v>
      </c>
      <c r="E251" s="1" t="n">
        <v>46304</v>
      </c>
      <c r="F251" t="inlineStr">
        <is>
          <t>KRONOBERGS LÄN</t>
        </is>
      </c>
      <c r="G251" t="inlineStr">
        <is>
          <t>ALVESTA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46304</v>
      </c>
      <c r="F252" t="inlineStr">
        <is>
          <t>KRONOBERGS LÄN</t>
        </is>
      </c>
      <c r="G252" t="inlineStr">
        <is>
          <t>ALVESTA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44670</v>
      </c>
      <c r="E253" s="1" t="n">
        <v>46304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48716-2025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46304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46304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46304</v>
      </c>
      <c r="F256" t="inlineStr">
        <is>
          <t>KRONOBERGS LÄN</t>
        </is>
      </c>
      <c r="G256" t="inlineStr">
        <is>
          <t>ALVESTA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9822-2022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44620</v>
      </c>
      <c r="E257" s="1" t="n">
        <v>46304</v>
      </c>
      <c r="F257" t="inlineStr">
        <is>
          <t>KRONOBERGS LÄN</t>
        </is>
      </c>
      <c r="G257" t="inlineStr">
        <is>
          <t>ALVESTA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46304</v>
      </c>
      <c r="F258" t="inlineStr">
        <is>
          <t>KRONOBERGS LÄN</t>
        </is>
      </c>
      <c r="G258" t="inlineStr">
        <is>
          <t>ALVESTA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46304</v>
      </c>
      <c r="F259" t="inlineStr">
        <is>
          <t>KRONOBERGS LÄN</t>
        </is>
      </c>
      <c r="G259" t="inlineStr">
        <is>
          <t>ALVESTA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46304</v>
      </c>
      <c r="F260" t="inlineStr">
        <is>
          <t>KRONOBERGS LÄN</t>
        </is>
      </c>
      <c r="G260" t="inlineStr">
        <is>
          <t>ALVESTA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45548</v>
      </c>
      <c r="E261" s="1" t="n">
        <v>46304</v>
      </c>
      <c r="F261" t="inlineStr">
        <is>
          <t>KRONOBERGS LÄN</t>
        </is>
      </c>
      <c r="G261" t="inlineStr">
        <is>
          <t>ALVESTA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16357-2024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46304</v>
      </c>
      <c r="F262" t="inlineStr">
        <is>
          <t>KRONOBERGS LÄN</t>
        </is>
      </c>
      <c r="G262" t="inlineStr">
        <is>
          <t>ALVESTA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46304</v>
      </c>
      <c r="F263" t="inlineStr">
        <is>
          <t>KRONOBERGS LÄN</t>
        </is>
      </c>
      <c r="G263" t="inlineStr">
        <is>
          <t>ALVESTA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46304</v>
      </c>
      <c r="F264" t="inlineStr">
        <is>
          <t>KRONOBERGS LÄN</t>
        </is>
      </c>
      <c r="G264" t="inlineStr">
        <is>
          <t>ALVESTA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46304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46304</v>
      </c>
      <c r="F266" t="inlineStr">
        <is>
          <t>KRONOBERGS LÄN</t>
        </is>
      </c>
      <c r="G266" t="inlineStr">
        <is>
          <t>ALVESTA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46304</v>
      </c>
      <c r="F267" t="inlineStr">
        <is>
          <t>KRONOBERGS LÄN</t>
        </is>
      </c>
      <c r="G267" t="inlineStr">
        <is>
          <t>ALVESTA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17823-2026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46122</v>
      </c>
      <c r="E268" s="1" t="n">
        <v>46304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46304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17801-2026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46122</v>
      </c>
      <c r="E270" s="1" t="n">
        <v>46304</v>
      </c>
      <c r="F270" t="inlineStr">
        <is>
          <t>KRONOBERGS LÄN</t>
        </is>
      </c>
      <c r="G270" t="inlineStr">
        <is>
          <t>ALVESTA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62235-2023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46304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46304</v>
      </c>
      <c r="F272" t="inlineStr">
        <is>
          <t>KRONOBERGS LÄN</t>
        </is>
      </c>
      <c r="G272" t="inlineStr">
        <is>
          <t>ALVESTA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46304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38875-2022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44816</v>
      </c>
      <c r="E274" s="1" t="n">
        <v>46304</v>
      </c>
      <c r="F274" t="inlineStr">
        <is>
          <t>KRONOBERGS LÄN</t>
        </is>
      </c>
      <c r="G274" t="inlineStr">
        <is>
          <t>ALVESTA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46304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46304</v>
      </c>
      <c r="F276" t="inlineStr">
        <is>
          <t>KRONOBERGS LÄN</t>
        </is>
      </c>
      <c r="G276" t="inlineStr">
        <is>
          <t>ALVESTA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46304</v>
      </c>
      <c r="F277" t="inlineStr">
        <is>
          <t>KRONOBERGS LÄN</t>
        </is>
      </c>
      <c r="G277" t="inlineStr">
        <is>
          <t>ALVESTA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46304</v>
      </c>
      <c r="F278" t="inlineStr">
        <is>
          <t>KRONOBERGS LÄN</t>
        </is>
      </c>
      <c r="G278" t="inlineStr">
        <is>
          <t>ALVESTA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46304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46304</v>
      </c>
      <c r="F280" t="inlineStr">
        <is>
          <t>KRONOBERGS LÄN</t>
        </is>
      </c>
      <c r="G280" t="inlineStr">
        <is>
          <t>ALVESTA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46129</v>
      </c>
      <c r="E281" s="1" t="n">
        <v>46304</v>
      </c>
      <c r="F281" t="inlineStr">
        <is>
          <t>KRONOBERGS LÄN</t>
        </is>
      </c>
      <c r="G281" t="inlineStr">
        <is>
          <t>ALVESTA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45217</v>
      </c>
      <c r="E282" s="1" t="n">
        <v>46304</v>
      </c>
      <c r="F282" t="inlineStr">
        <is>
          <t>KRONOBERGS LÄN</t>
        </is>
      </c>
      <c r="G282" t="inlineStr">
        <is>
          <t>ALVESTA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46304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46304</v>
      </c>
      <c r="F284" t="inlineStr">
        <is>
          <t>KRONOBERGS LÄN</t>
        </is>
      </c>
      <c r="G284" t="inlineStr">
        <is>
          <t>ALVESTA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45336</v>
      </c>
      <c r="E285" s="1" t="n">
        <v>46304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36862-2022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44805</v>
      </c>
      <c r="E286" s="1" t="n">
        <v>46304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45482</v>
      </c>
      <c r="E287" s="1" t="n">
        <v>46304</v>
      </c>
      <c r="F287" t="inlineStr">
        <is>
          <t>KRONOBERGS LÄN</t>
        </is>
      </c>
      <c r="G287" t="inlineStr">
        <is>
          <t>ALVESTA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45349</v>
      </c>
      <c r="E288" s="1" t="n">
        <v>46304</v>
      </c>
      <c r="F288" t="inlineStr">
        <is>
          <t>KRONOBERGS LÄN</t>
        </is>
      </c>
      <c r="G288" t="inlineStr">
        <is>
          <t>ALVESTA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46304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46304</v>
      </c>
      <c r="F290" t="inlineStr">
        <is>
          <t>KRONOBERGS LÄN</t>
        </is>
      </c>
      <c r="G290" t="inlineStr">
        <is>
          <t>ALVESTA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46304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46304</v>
      </c>
      <c r="F292" t="inlineStr">
        <is>
          <t>KRONOBERGS LÄN</t>
        </is>
      </c>
      <c r="G292" t="inlineStr">
        <is>
          <t>ALVESTA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45512</v>
      </c>
      <c r="E293" s="1" t="n">
        <v>46304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46304</v>
      </c>
      <c r="F294" t="inlineStr">
        <is>
          <t>KRONOBERGS LÄN</t>
        </is>
      </c>
      <c r="G294" t="inlineStr">
        <is>
          <t>ALVESTA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46304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46304</v>
      </c>
      <c r="F296" t="inlineStr">
        <is>
          <t>KRONOBERGS LÄN</t>
        </is>
      </c>
      <c r="G296" t="inlineStr">
        <is>
          <t>ALVESTA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46304</v>
      </c>
      <c r="F297" t="inlineStr">
        <is>
          <t>KRONOBERGS LÄN</t>
        </is>
      </c>
      <c r="G297" t="inlineStr">
        <is>
          <t>ALVESTA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46304</v>
      </c>
      <c r="F298" t="inlineStr">
        <is>
          <t>KRONOBERGS LÄN</t>
        </is>
      </c>
      <c r="G298" t="inlineStr">
        <is>
          <t>ALVESTA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46304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45426</v>
      </c>
      <c r="E300" s="1" t="n">
        <v>46304</v>
      </c>
      <c r="F300" t="inlineStr">
        <is>
          <t>KRONOBERGS LÄN</t>
        </is>
      </c>
      <c r="G300" t="inlineStr">
        <is>
          <t>ALVESTA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44881</v>
      </c>
      <c r="E301" s="1" t="n">
        <v>46304</v>
      </c>
      <c r="F301" t="inlineStr">
        <is>
          <t>KRONOBERGS LÄN</t>
        </is>
      </c>
      <c r="G301" t="inlineStr">
        <is>
          <t>ALVESTA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46304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46304</v>
      </c>
      <c r="F303" t="inlineStr">
        <is>
          <t>KRONOBERGS LÄN</t>
        </is>
      </c>
      <c r="G303" t="inlineStr">
        <is>
          <t>ALVESTA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45608</v>
      </c>
      <c r="E304" s="1" t="n">
        <v>46304</v>
      </c>
      <c r="F304" t="inlineStr">
        <is>
          <t>KRONOBERGS LÄN</t>
        </is>
      </c>
      <c r="G304" t="inlineStr">
        <is>
          <t>ALVESTA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46304</v>
      </c>
      <c r="F305" t="inlineStr">
        <is>
          <t>KRONOBERGS LÄN</t>
        </is>
      </c>
      <c r="G305" t="inlineStr">
        <is>
          <t>ALVESTA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45300</v>
      </c>
      <c r="E306" s="1" t="n">
        <v>46304</v>
      </c>
      <c r="F306" t="inlineStr">
        <is>
          <t>KRONOBERGS LÄN</t>
        </is>
      </c>
      <c r="G306" t="inlineStr">
        <is>
          <t>ALVESTA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46304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45075</v>
      </c>
      <c r="E308" s="1" t="n">
        <v>46304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46304</v>
      </c>
      <c r="F309" t="inlineStr">
        <is>
          <t>KRONOBERGS LÄN</t>
        </is>
      </c>
      <c r="G309" t="inlineStr">
        <is>
          <t>ALVESTA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44978</v>
      </c>
      <c r="E310" s="1" t="n">
        <v>46304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46304</v>
      </c>
      <c r="F311" t="inlineStr">
        <is>
          <t>KRONOBERGS LÄN</t>
        </is>
      </c>
      <c r="G311" t="inlineStr">
        <is>
          <t>ALVESTA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45418</v>
      </c>
      <c r="E312" s="1" t="n">
        <v>46304</v>
      </c>
      <c r="F312" t="inlineStr">
        <is>
          <t>KRONOBERGS LÄN</t>
        </is>
      </c>
      <c r="G312" t="inlineStr">
        <is>
          <t>ALVESTA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45418</v>
      </c>
      <c r="E313" s="1" t="n">
        <v>46304</v>
      </c>
      <c r="F313" t="inlineStr">
        <is>
          <t>KRONOBERGS LÄN</t>
        </is>
      </c>
      <c r="G313" t="inlineStr">
        <is>
          <t>ALVESTA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46304</v>
      </c>
      <c r="F314" t="inlineStr">
        <is>
          <t>KRONOBERGS LÄN</t>
        </is>
      </c>
      <c r="G314" t="inlineStr">
        <is>
          <t>ALVESTA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46304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46304</v>
      </c>
      <c r="F316" t="inlineStr">
        <is>
          <t>KRONOBERGS LÄN</t>
        </is>
      </c>
      <c r="G316" t="inlineStr">
        <is>
          <t>ALVESTA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45296</v>
      </c>
      <c r="E317" s="1" t="n">
        <v>46304</v>
      </c>
      <c r="F317" t="inlineStr">
        <is>
          <t>KRONOBERGS LÄN</t>
        </is>
      </c>
      <c r="G317" t="inlineStr">
        <is>
          <t>ALVESTA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46304</v>
      </c>
      <c r="F318" t="inlineStr">
        <is>
          <t>KRONOBERGS LÄN</t>
        </is>
      </c>
      <c r="G318" t="inlineStr">
        <is>
          <t>ALVESTA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46304</v>
      </c>
      <c r="F319" t="inlineStr">
        <is>
          <t>KRONOBERGS LÄN</t>
        </is>
      </c>
      <c r="G319" t="inlineStr">
        <is>
          <t>ALVESTA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46304</v>
      </c>
      <c r="F320" t="inlineStr">
        <is>
          <t>KRONOBERGS LÄN</t>
        </is>
      </c>
      <c r="G320" t="inlineStr">
        <is>
          <t>ALVESTA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46304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46304</v>
      </c>
      <c r="F322" t="inlineStr">
        <is>
          <t>KRONOBERGS LÄN</t>
        </is>
      </c>
      <c r="G322" t="inlineStr">
        <is>
          <t>ALVESTA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46304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45706</v>
      </c>
      <c r="E324" s="1" t="n">
        <v>46304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46304</v>
      </c>
      <c r="F325" t="inlineStr">
        <is>
          <t>KRONOBERGS LÄN</t>
        </is>
      </c>
      <c r="G325" t="inlineStr">
        <is>
          <t>ALVESTA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46304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45436</v>
      </c>
      <c r="E327" s="1" t="n">
        <v>46304</v>
      </c>
      <c r="F327" t="inlineStr">
        <is>
          <t>KRONOBERGS LÄN</t>
        </is>
      </c>
      <c r="G327" t="inlineStr">
        <is>
          <t>ALVESTA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46304</v>
      </c>
      <c r="F328" t="inlineStr">
        <is>
          <t>KRONOBERGS LÄN</t>
        </is>
      </c>
      <c r="G328" t="inlineStr">
        <is>
          <t>ALVESTA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45471</v>
      </c>
      <c r="E329" s="1" t="n">
        <v>46304</v>
      </c>
      <c r="F329" t="inlineStr">
        <is>
          <t>KRONOBERGS LÄN</t>
        </is>
      </c>
      <c r="G329" t="inlineStr">
        <is>
          <t>ALVESTA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44951</v>
      </c>
      <c r="E330" s="1" t="n">
        <v>46304</v>
      </c>
      <c r="F330" t="inlineStr">
        <is>
          <t>KRONOBERGS LÄN</t>
        </is>
      </c>
      <c r="G330" t="inlineStr">
        <is>
          <t>ALVESTA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65092-2023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45288</v>
      </c>
      <c r="E331" s="1" t="n">
        <v>46304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46304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46304</v>
      </c>
      <c r="F333" t="inlineStr">
        <is>
          <t>KRONOBERGS LÄN</t>
        </is>
      </c>
      <c r="G333" t="inlineStr">
        <is>
          <t>ALVESTA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46304</v>
      </c>
      <c r="F334" t="inlineStr">
        <is>
          <t>KRONOBERGS LÄN</t>
        </is>
      </c>
      <c r="G334" t="inlineStr">
        <is>
          <t>ALVESTA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46304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45946</v>
      </c>
      <c r="E336" s="1" t="n">
        <v>46304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46304</v>
      </c>
      <c r="F337" t="inlineStr">
        <is>
          <t>KRONOBERGS LÄN</t>
        </is>
      </c>
      <c r="G337" t="inlineStr">
        <is>
          <t>ALVESTA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46304</v>
      </c>
      <c r="F338" t="inlineStr">
        <is>
          <t>KRONOBERGS LÄN</t>
        </is>
      </c>
      <c r="G338" t="inlineStr">
        <is>
          <t>ALVESTA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46304</v>
      </c>
      <c r="F339" t="inlineStr">
        <is>
          <t>KRONOBERGS LÄN</t>
        </is>
      </c>
      <c r="G339" t="inlineStr">
        <is>
          <t>ALVESTA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46304</v>
      </c>
      <c r="F340" t="inlineStr">
        <is>
          <t>KRONOBERGS LÄN</t>
        </is>
      </c>
      <c r="G340" t="inlineStr">
        <is>
          <t>ALVESTA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45949</v>
      </c>
      <c r="E341" s="1" t="n">
        <v>46304</v>
      </c>
      <c r="F341" t="inlineStr">
        <is>
          <t>KRONOBERGS LÄN</t>
        </is>
      </c>
      <c r="G341" t="inlineStr">
        <is>
          <t>ALVESTA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45341</v>
      </c>
      <c r="E342" s="1" t="n">
        <v>46304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46304</v>
      </c>
      <c r="F343" t="inlineStr">
        <is>
          <t>KRONOBERGS LÄN</t>
        </is>
      </c>
      <c r="G343" t="inlineStr">
        <is>
          <t>ALVESTA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46304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45478</v>
      </c>
      <c r="E345" s="1" t="n">
        <v>46304</v>
      </c>
      <c r="F345" t="inlineStr">
        <is>
          <t>KRONOBERGS LÄN</t>
        </is>
      </c>
      <c r="G345" t="inlineStr">
        <is>
          <t>ALVESTA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46304</v>
      </c>
      <c r="F346" t="inlineStr">
        <is>
          <t>KRONOBERGS LÄN</t>
        </is>
      </c>
      <c r="G346" t="inlineStr">
        <is>
          <t>ALVESTA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45362</v>
      </c>
      <c r="E347" s="1" t="n">
        <v>46304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46304</v>
      </c>
      <c r="F348" t="inlineStr">
        <is>
          <t>KRONOBERGS LÄN</t>
        </is>
      </c>
      <c r="G348" t="inlineStr">
        <is>
          <t>ALVESTA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45698</v>
      </c>
      <c r="E349" s="1" t="n">
        <v>46304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46304</v>
      </c>
      <c r="F350" t="inlineStr">
        <is>
          <t>KRONOBERGS LÄN</t>
        </is>
      </c>
      <c r="G350" t="inlineStr">
        <is>
          <t>ALVESTA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11912-2022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44635</v>
      </c>
      <c r="E351" s="1" t="n">
        <v>46304</v>
      </c>
      <c r="F351" t="inlineStr">
        <is>
          <t>KRONOBERGS LÄN</t>
        </is>
      </c>
      <c r="G351" t="inlineStr">
        <is>
          <t>ALVESTA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46304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46304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45136</v>
      </c>
      <c r="E354" s="1" t="n">
        <v>46304</v>
      </c>
      <c r="F354" t="inlineStr">
        <is>
          <t>KRONOBERGS LÄN</t>
        </is>
      </c>
      <c r="G354" t="inlineStr">
        <is>
          <t>ALVESTA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46304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46304</v>
      </c>
      <c r="F356" t="inlineStr">
        <is>
          <t>KRONOBERGS LÄN</t>
        </is>
      </c>
      <c r="G356" t="inlineStr">
        <is>
          <t>ALVESTA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46304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46304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46304</v>
      </c>
      <c r="F359" t="inlineStr">
        <is>
          <t>KRONOBERGS LÄN</t>
        </is>
      </c>
      <c r="G359" t="inlineStr">
        <is>
          <t>ALVESTA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45320</v>
      </c>
      <c r="E360" s="1" t="n">
        <v>46304</v>
      </c>
      <c r="F360" t="inlineStr">
        <is>
          <t>KRONOBERGS LÄN</t>
        </is>
      </c>
      <c r="G360" t="inlineStr">
        <is>
          <t>ALVESTA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46304</v>
      </c>
      <c r="F361" t="inlineStr">
        <is>
          <t>KRONOBERGS LÄN</t>
        </is>
      </c>
      <c r="G361" t="inlineStr">
        <is>
          <t>ALVESTA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14969-2022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44657</v>
      </c>
      <c r="E362" s="1" t="n">
        <v>46304</v>
      </c>
      <c r="F362" t="inlineStr">
        <is>
          <t>KRONOBERGS LÄN</t>
        </is>
      </c>
      <c r="G362" t="inlineStr">
        <is>
          <t>ALVESTA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44914</v>
      </c>
      <c r="E363" s="1" t="n">
        <v>46304</v>
      </c>
      <c r="F363" t="inlineStr">
        <is>
          <t>KRONOBERGS LÄN</t>
        </is>
      </c>
      <c r="G363" t="inlineStr">
        <is>
          <t>ALVESTA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45128</v>
      </c>
      <c r="E364" s="1" t="n">
        <v>46304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53452-2024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45614</v>
      </c>
      <c r="E365" s="1" t="n">
        <v>46304</v>
      </c>
      <c r="F365" t="inlineStr">
        <is>
          <t>KRONOBERGS LÄN</t>
        </is>
      </c>
      <c r="G365" t="inlineStr">
        <is>
          <t>ALVESTA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45692</v>
      </c>
      <c r="E366" s="1" t="n">
        <v>46304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46304</v>
      </c>
      <c r="F367" t="inlineStr">
        <is>
          <t>KRONOBERGS LÄN</t>
        </is>
      </c>
      <c r="G367" t="inlineStr">
        <is>
          <t>ALVESTA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46304</v>
      </c>
      <c r="F368" t="inlineStr">
        <is>
          <t>KRONOBERGS LÄN</t>
        </is>
      </c>
      <c r="G368" t="inlineStr">
        <is>
          <t>ALVESTA</t>
        </is>
      </c>
      <c r="H368" t="inlineStr">
        <is>
          <t>Kyrkan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46304</v>
      </c>
      <c r="F369" t="inlineStr">
        <is>
          <t>KRONOBERGS LÄN</t>
        </is>
      </c>
      <c r="G369" t="inlineStr">
        <is>
          <t>ALVESTA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46304</v>
      </c>
      <c r="F370" t="inlineStr">
        <is>
          <t>KRONOBERGS LÄN</t>
        </is>
      </c>
      <c r="G370" t="inlineStr">
        <is>
          <t>ALVESTA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58648-2024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45635</v>
      </c>
      <c r="E371" s="1" t="n">
        <v>46304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45338</v>
      </c>
      <c r="E372" s="1" t="n">
        <v>46304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45699</v>
      </c>
      <c r="E373" s="1" t="n">
        <v>46304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50689-2023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46304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45217</v>
      </c>
      <c r="E375" s="1" t="n">
        <v>46304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46304</v>
      </c>
      <c r="F376" t="inlineStr">
        <is>
          <t>KRONOBERGS LÄN</t>
        </is>
      </c>
      <c r="G376" t="inlineStr">
        <is>
          <t>ALVESTA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46304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45324</v>
      </c>
      <c r="E378" s="1" t="n">
        <v>46304</v>
      </c>
      <c r="F378" t="inlineStr">
        <is>
          <t>KRONOBERGS LÄN</t>
        </is>
      </c>
      <c r="G378" t="inlineStr">
        <is>
          <t>ALVESTA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46304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46304</v>
      </c>
      <c r="F380" t="inlineStr">
        <is>
          <t>KRONOBERGS LÄN</t>
        </is>
      </c>
      <c r="G380" t="inlineStr">
        <is>
          <t>ALVESTA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46304</v>
      </c>
      <c r="F381" t="inlineStr">
        <is>
          <t>KRONOBERGS LÄN</t>
        </is>
      </c>
      <c r="G381" t="inlineStr">
        <is>
          <t>ALVESTA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45771</v>
      </c>
      <c r="E382" s="1" t="n">
        <v>46304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45267</v>
      </c>
      <c r="E383" s="1" t="n">
        <v>46304</v>
      </c>
      <c r="F383" t="inlineStr">
        <is>
          <t>KRONOBERGS LÄN</t>
        </is>
      </c>
      <c r="G383" t="inlineStr">
        <is>
          <t>ALVESTA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52172-2022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44873</v>
      </c>
      <c r="E384" s="1" t="n">
        <v>46304</v>
      </c>
      <c r="F384" t="inlineStr">
        <is>
          <t>KRONOBERGS LÄN</t>
        </is>
      </c>
      <c r="G384" t="inlineStr">
        <is>
          <t>ALVESTA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52103-2024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46304</v>
      </c>
      <c r="F385" t="inlineStr">
        <is>
          <t>KRONOBERGS LÄN</t>
        </is>
      </c>
      <c r="G385" t="inlineStr">
        <is>
          <t>ALVESTA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46304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11601-2026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46304</v>
      </c>
      <c r="F387" t="inlineStr">
        <is>
          <t>KRONOBERGS LÄN</t>
        </is>
      </c>
      <c r="G387" t="inlineStr">
        <is>
          <t>ALVESTA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11331-2026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46081</v>
      </c>
      <c r="E388" s="1" t="n">
        <v>46304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45135</v>
      </c>
      <c r="E389" s="1" t="n">
        <v>46304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46304</v>
      </c>
      <c r="F390" t="inlineStr">
        <is>
          <t>KRONOBERGS LÄN</t>
        </is>
      </c>
      <c r="G390" t="inlineStr">
        <is>
          <t>ALVESTA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46304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54966-2023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45236</v>
      </c>
      <c r="E392" s="1" t="n">
        <v>46304</v>
      </c>
      <c r="F392" t="inlineStr">
        <is>
          <t>KRONOBERGS LÄN</t>
        </is>
      </c>
      <c r="G392" t="inlineStr">
        <is>
          <t>ALVESTA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46304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46304</v>
      </c>
      <c r="F394" t="inlineStr">
        <is>
          <t>KRONOBERGS LÄN</t>
        </is>
      </c>
      <c r="G394" t="inlineStr">
        <is>
          <t>ALVESTA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46304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36750-2022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44805</v>
      </c>
      <c r="E396" s="1" t="n">
        <v>46304</v>
      </c>
      <c r="F396" t="inlineStr">
        <is>
          <t>KRONOBERGS LÄN</t>
        </is>
      </c>
      <c r="G396" t="inlineStr">
        <is>
          <t>ALVESTA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46304</v>
      </c>
      <c r="F397" t="inlineStr">
        <is>
          <t>KRONOBERGS LÄN</t>
        </is>
      </c>
      <c r="G397" t="inlineStr">
        <is>
          <t>ALVESTA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32978-2023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46304</v>
      </c>
      <c r="F398" t="inlineStr">
        <is>
          <t>KRONOBERGS LÄN</t>
        </is>
      </c>
      <c r="G398" t="inlineStr">
        <is>
          <t>ALVESTA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46304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45349</v>
      </c>
      <c r="E400" s="1" t="n">
        <v>46304</v>
      </c>
      <c r="F400" t="inlineStr">
        <is>
          <t>KRONOBERGS LÄN</t>
        </is>
      </c>
      <c r="G400" t="inlineStr">
        <is>
          <t>ALVESTA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44893</v>
      </c>
      <c r="E401" s="1" t="n">
        <v>46304</v>
      </c>
      <c r="F401" t="inlineStr">
        <is>
          <t>KRONOBERGS LÄN</t>
        </is>
      </c>
      <c r="G401" t="inlineStr">
        <is>
          <t>ALVESTA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46304</v>
      </c>
      <c r="F402" t="inlineStr">
        <is>
          <t>KRONOBERGS LÄN</t>
        </is>
      </c>
      <c r="G402" t="inlineStr">
        <is>
          <t>ALVESTA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45733</v>
      </c>
      <c r="E403" s="1" t="n">
        <v>46304</v>
      </c>
      <c r="F403" t="inlineStr">
        <is>
          <t>KRONOBERGS LÄN</t>
        </is>
      </c>
      <c r="G403" t="inlineStr">
        <is>
          <t>ALVESTA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46304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46304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45476</v>
      </c>
      <c r="E406" s="1" t="n">
        <v>46304</v>
      </c>
      <c r="F406" t="inlineStr">
        <is>
          <t>KRONOBERGS LÄN</t>
        </is>
      </c>
      <c r="G406" t="inlineStr">
        <is>
          <t>ALVESTA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46304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39263-2023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45166</v>
      </c>
      <c r="E408" s="1" t="n">
        <v>46304</v>
      </c>
      <c r="F408" t="inlineStr">
        <is>
          <t>KRONOBERGS LÄN</t>
        </is>
      </c>
      <c r="G408" t="inlineStr">
        <is>
          <t>ALVESTA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45854</v>
      </c>
      <c r="E409" s="1" t="n">
        <v>46304</v>
      </c>
      <c r="F409" t="inlineStr">
        <is>
          <t>KRONOBERGS LÄN</t>
        </is>
      </c>
      <c r="G409" t="inlineStr">
        <is>
          <t>ALVESTA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42074-2025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45903</v>
      </c>
      <c r="E410" s="1" t="n">
        <v>46304</v>
      </c>
      <c r="F410" t="inlineStr">
        <is>
          <t>KRONOBERGS LÄN</t>
        </is>
      </c>
      <c r="G410" t="inlineStr">
        <is>
          <t>ALVESTA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46304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46304</v>
      </c>
      <c r="F412" t="inlineStr">
        <is>
          <t>KRONOBERGS LÄN</t>
        </is>
      </c>
      <c r="G412" t="inlineStr">
        <is>
          <t>ALVESTA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46304</v>
      </c>
      <c r="F413" t="inlineStr">
        <is>
          <t>KRONOBERGS LÄN</t>
        </is>
      </c>
      <c r="G413" t="inlineStr">
        <is>
          <t>ALVESTA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44935</v>
      </c>
      <c r="E414" s="1" t="n">
        <v>46304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46304</v>
      </c>
      <c r="F415" t="inlineStr">
        <is>
          <t>KRONOBERGS LÄN</t>
        </is>
      </c>
      <c r="G415" t="inlineStr">
        <is>
          <t>ALVESTA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46304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46304</v>
      </c>
      <c r="F417" t="inlineStr">
        <is>
          <t>KRONOBERGS LÄN</t>
        </is>
      </c>
      <c r="G417" t="inlineStr">
        <is>
          <t>ALVESTA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46304</v>
      </c>
      <c r="F418" t="inlineStr">
        <is>
          <t>KRONOBERGS LÄN</t>
        </is>
      </c>
      <c r="G418" t="inlineStr">
        <is>
          <t>ALVESTA</t>
        </is>
      </c>
      <c r="I418" t="n">
        <v>10.2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46304</v>
      </c>
      <c r="F419" t="inlineStr">
        <is>
          <t>KRONOBERGS LÄN</t>
        </is>
      </c>
      <c r="G419" t="inlineStr">
        <is>
          <t>ALVESTA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46304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45524</v>
      </c>
      <c r="E421" s="1" t="n">
        <v>46304</v>
      </c>
      <c r="F421" t="inlineStr">
        <is>
          <t>KRONOBERGS LÄN</t>
        </is>
      </c>
      <c r="G421" t="inlineStr">
        <is>
          <t>ALVESTA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45005</v>
      </c>
      <c r="E422" s="1" t="n">
        <v>46304</v>
      </c>
      <c r="F422" t="inlineStr">
        <is>
          <t>KRONOBERGS LÄN</t>
        </is>
      </c>
      <c r="G422" t="inlineStr">
        <is>
          <t>ALVESTA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45218</v>
      </c>
      <c r="E423" s="1" t="n">
        <v>46304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46304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51210-2022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44868</v>
      </c>
      <c r="E425" s="1" t="n">
        <v>46304</v>
      </c>
      <c r="F425" t="inlineStr">
        <is>
          <t>KRONOBERGS LÄN</t>
        </is>
      </c>
      <c r="G425" t="inlineStr">
        <is>
          <t>ALVESTA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24419-2026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46169</v>
      </c>
      <c r="E426" s="1" t="n">
        <v>46304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6479-2022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44601</v>
      </c>
      <c r="E427" s="1" t="n">
        <v>46304</v>
      </c>
      <c r="F427" t="inlineStr">
        <is>
          <t>KRONOBERGS LÄN</t>
        </is>
      </c>
      <c r="G427" t="inlineStr">
        <is>
          <t>ALVESTA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24420-2026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46304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46304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46304</v>
      </c>
      <c r="F430" t="inlineStr">
        <is>
          <t>KRONOBERGS LÄN</t>
        </is>
      </c>
      <c r="G430" t="inlineStr">
        <is>
          <t>ALVESTA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46304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45426</v>
      </c>
      <c r="E432" s="1" t="n">
        <v>46304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45068</v>
      </c>
      <c r="E433" s="1" t="n">
        <v>46304</v>
      </c>
      <c r="F433" t="inlineStr">
        <is>
          <t>KRONOBERGS LÄN</t>
        </is>
      </c>
      <c r="G433" t="inlineStr">
        <is>
          <t>ALVESTA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45547</v>
      </c>
      <c r="E434" s="1" t="n">
        <v>46304</v>
      </c>
      <c r="F434" t="inlineStr">
        <is>
          <t>KRONOBERGS LÄN</t>
        </is>
      </c>
      <c r="G434" t="inlineStr">
        <is>
          <t>ALVESTA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45247</v>
      </c>
      <c r="E435" s="1" t="n">
        <v>46304</v>
      </c>
      <c r="F435" t="inlineStr">
        <is>
          <t>KRONOBERGS LÄN</t>
        </is>
      </c>
      <c r="G435" t="inlineStr">
        <is>
          <t>ALVESTA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46304</v>
      </c>
      <c r="F436" t="inlineStr">
        <is>
          <t>KRONOBERGS LÄN</t>
        </is>
      </c>
      <c r="G436" t="inlineStr">
        <is>
          <t>ALVESTA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45614</v>
      </c>
      <c r="E437" s="1" t="n">
        <v>46304</v>
      </c>
      <c r="F437" t="inlineStr">
        <is>
          <t>KRONOBERGS LÄN</t>
        </is>
      </c>
      <c r="G437" t="inlineStr">
        <is>
          <t>ALVESTA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53459-2024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46304</v>
      </c>
      <c r="F438" t="inlineStr">
        <is>
          <t>KRONOBERGS LÄN</t>
        </is>
      </c>
      <c r="G438" t="inlineStr">
        <is>
          <t>ALVESTA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24692-2026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46171</v>
      </c>
      <c r="E439" s="1" t="n">
        <v>46304</v>
      </c>
      <c r="F439" t="inlineStr">
        <is>
          <t>KRONOBERGS LÄN</t>
        </is>
      </c>
      <c r="G439" t="inlineStr">
        <is>
          <t>ALVESTA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46304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46304</v>
      </c>
      <c r="F441" t="inlineStr">
        <is>
          <t>KRONOBERGS LÄN</t>
        </is>
      </c>
      <c r="G441" t="inlineStr">
        <is>
          <t>ALVESTA</t>
        </is>
      </c>
      <c r="H441" t="inlineStr">
        <is>
          <t>Kommuner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45305</v>
      </c>
      <c r="E442" s="1" t="n">
        <v>46304</v>
      </c>
      <c r="F442" t="inlineStr">
        <is>
          <t>KRONOBERGS LÄN</t>
        </is>
      </c>
      <c r="G442" t="inlineStr">
        <is>
          <t>ALVESTA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46304</v>
      </c>
      <c r="F443" t="inlineStr">
        <is>
          <t>KRONOBERGS LÄN</t>
        </is>
      </c>
      <c r="G443" t="inlineStr">
        <is>
          <t>ALVESTA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46304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53226-2024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45613</v>
      </c>
      <c r="E445" s="1" t="n">
        <v>46304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46304</v>
      </c>
      <c r="F446" t="inlineStr">
        <is>
          <t>KRONOBERGS LÄN</t>
        </is>
      </c>
      <c r="G446" t="inlineStr">
        <is>
          <t>ALVESTA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46304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46304</v>
      </c>
      <c r="F448" t="inlineStr">
        <is>
          <t>KRONOBERGS LÄN</t>
        </is>
      </c>
      <c r="G448" t="inlineStr">
        <is>
          <t>ALVESTA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27077-2026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46186</v>
      </c>
      <c r="E449" s="1" t="n">
        <v>46304</v>
      </c>
      <c r="F449" t="inlineStr">
        <is>
          <t>KRONOBERGS LÄN</t>
        </is>
      </c>
      <c r="G449" t="inlineStr">
        <is>
          <t>ALVESTA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44943</v>
      </c>
      <c r="E450" s="1" t="n">
        <v>46304</v>
      </c>
      <c r="F450" t="inlineStr">
        <is>
          <t>KRONOBERGS LÄN</t>
        </is>
      </c>
      <c r="G450" t="inlineStr">
        <is>
          <t>ALVESTA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9687-2024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45362</v>
      </c>
      <c r="E451" s="1" t="n">
        <v>46304</v>
      </c>
      <c r="F451" t="inlineStr">
        <is>
          <t>KRONOBERGS LÄN</t>
        </is>
      </c>
      <c r="G451" t="inlineStr">
        <is>
          <t>ALVESTA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46304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27032-2026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46185</v>
      </c>
      <c r="E453" s="1" t="n">
        <v>46304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44995</v>
      </c>
      <c r="E454" s="1" t="n">
        <v>46304</v>
      </c>
      <c r="F454" t="inlineStr">
        <is>
          <t>KRONOBERGS LÄN</t>
        </is>
      </c>
      <c r="G454" t="inlineStr">
        <is>
          <t>ALVESTA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46304</v>
      </c>
      <c r="F455" t="inlineStr">
        <is>
          <t>KRONOBERGS LÄN</t>
        </is>
      </c>
      <c r="G455" t="inlineStr">
        <is>
          <t>ALVESTA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46304</v>
      </c>
      <c r="F456" t="inlineStr">
        <is>
          <t>KRONOBERGS LÄN</t>
        </is>
      </c>
      <c r="G456" t="inlineStr">
        <is>
          <t>ALVESTA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45076</v>
      </c>
      <c r="E457" s="1" t="n">
        <v>46304</v>
      </c>
      <c r="F457" t="inlineStr">
        <is>
          <t>KRONOBERGS LÄN</t>
        </is>
      </c>
      <c r="G457" t="inlineStr">
        <is>
          <t>ALVESTA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45092</v>
      </c>
      <c r="E458" s="1" t="n">
        <v>46304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46196</v>
      </c>
      <c r="E459" s="1" t="n">
        <v>46304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46304</v>
      </c>
      <c r="F460" t="inlineStr">
        <is>
          <t>KRONOBERGS LÄN</t>
        </is>
      </c>
      <c r="G460" t="inlineStr">
        <is>
          <t>ALVESTA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38890-2023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45161</v>
      </c>
      <c r="E461" s="1" t="n">
        <v>46304</v>
      </c>
      <c r="F461" t="inlineStr">
        <is>
          <t>KRONOBERGS LÄN</t>
        </is>
      </c>
      <c r="G461" t="inlineStr">
        <is>
          <t>ALVESTA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46304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46304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44880</v>
      </c>
      <c r="E464" s="1" t="n">
        <v>46304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44907</v>
      </c>
      <c r="E465" s="1" t="n">
        <v>46304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46304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46304</v>
      </c>
      <c r="F467" t="inlineStr">
        <is>
          <t>KRONOBERGS LÄN</t>
        </is>
      </c>
      <c r="G467" t="inlineStr">
        <is>
          <t>ALVESTA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46304</v>
      </c>
      <c r="F468" t="inlineStr">
        <is>
          <t>KRONOBERGS LÄN</t>
        </is>
      </c>
      <c r="G468" t="inlineStr">
        <is>
          <t>ALVESTA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45358</v>
      </c>
      <c r="E469" s="1" t="n">
        <v>46304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46304</v>
      </c>
      <c r="F470" t="inlineStr">
        <is>
          <t>KRONOBERGS LÄN</t>
        </is>
      </c>
      <c r="G470" t="inlineStr">
        <is>
          <t>ALVESTA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46304</v>
      </c>
      <c r="F471" t="inlineStr">
        <is>
          <t>KRONOBERGS LÄN</t>
        </is>
      </c>
      <c r="G471" t="inlineStr">
        <is>
          <t>ALVESTA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46304</v>
      </c>
      <c r="F472" t="inlineStr">
        <is>
          <t>KRONOBERGS LÄN</t>
        </is>
      </c>
      <c r="G472" t="inlineStr">
        <is>
          <t>ALVESTA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46304</v>
      </c>
      <c r="F473" t="inlineStr">
        <is>
          <t>KRONOBERGS LÄN</t>
        </is>
      </c>
      <c r="G473" t="inlineStr">
        <is>
          <t>ALVESTA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44925</v>
      </c>
      <c r="E474" s="1" t="n">
        <v>46304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46304</v>
      </c>
      <c r="F475" t="inlineStr">
        <is>
          <t>KRONOBERGS LÄN</t>
        </is>
      </c>
      <c r="G475" t="inlineStr">
        <is>
          <t>ALVESTA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45302</v>
      </c>
      <c r="E476" s="1" t="n">
        <v>46304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45544</v>
      </c>
      <c r="E477" s="1" t="n">
        <v>46304</v>
      </c>
      <c r="F477" t="inlineStr">
        <is>
          <t>KRONOBERGS LÄN</t>
        </is>
      </c>
      <c r="G477" t="inlineStr">
        <is>
          <t>ALVESTA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45032</v>
      </c>
      <c r="E478" s="1" t="n">
        <v>46304</v>
      </c>
      <c r="F478" t="inlineStr">
        <is>
          <t>KRONOBERGS LÄN</t>
        </is>
      </c>
      <c r="G478" t="inlineStr">
        <is>
          <t>ALVESTA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46304</v>
      </c>
      <c r="F479" t="inlineStr">
        <is>
          <t>KRONOBERGS LÄN</t>
        </is>
      </c>
      <c r="G479" t="inlineStr">
        <is>
          <t>ALVESTA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45217</v>
      </c>
      <c r="E480" s="1" t="n">
        <v>46304</v>
      </c>
      <c r="F480" t="inlineStr">
        <is>
          <t>KRONOBERGS LÄN</t>
        </is>
      </c>
      <c r="G480" t="inlineStr">
        <is>
          <t>ALVESTA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34267-2023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45128</v>
      </c>
      <c r="E481" s="1" t="n">
        <v>46304</v>
      </c>
      <c r="F481" t="inlineStr">
        <is>
          <t>KRONOBERGS LÄN</t>
        </is>
      </c>
      <c r="G481" t="inlineStr">
        <is>
          <t>ALVESTA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46304</v>
      </c>
      <c r="F482" t="inlineStr">
        <is>
          <t>KRONOBERGS LÄN</t>
        </is>
      </c>
      <c r="G482" t="inlineStr">
        <is>
          <t>ALVESTA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46304</v>
      </c>
      <c r="F483" t="inlineStr">
        <is>
          <t>KRONOBERGS LÄN</t>
        </is>
      </c>
      <c r="G483" t="inlineStr">
        <is>
          <t>ALVESTA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15171-2025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45744</v>
      </c>
      <c r="E484" s="1" t="n">
        <v>46304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44747</v>
      </c>
      <c r="E485" s="1" t="n">
        <v>46304</v>
      </c>
      <c r="F485" t="inlineStr">
        <is>
          <t>KRONOBERGS LÄN</t>
        </is>
      </c>
      <c r="G485" t="inlineStr">
        <is>
          <t>ALVESTA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46304</v>
      </c>
      <c r="F486" t="inlineStr">
        <is>
          <t>KRONOBERGS LÄN</t>
        </is>
      </c>
      <c r="G486" t="inlineStr">
        <is>
          <t>ALVESTA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44581</v>
      </c>
      <c r="E487" s="1" t="n">
        <v>46304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45544</v>
      </c>
      <c r="E488" s="1" t="n">
        <v>46304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46304</v>
      </c>
      <c r="F489" t="inlineStr">
        <is>
          <t>KRONOBERGS LÄN</t>
        </is>
      </c>
      <c r="G489" t="inlineStr">
        <is>
          <t>ALVESTA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45136</v>
      </c>
      <c r="E490" s="1" t="n">
        <v>46304</v>
      </c>
      <c r="F490" t="inlineStr">
        <is>
          <t>KRONOBERGS LÄN</t>
        </is>
      </c>
      <c r="G490" t="inlineStr">
        <is>
          <t>ALVESTA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45436</v>
      </c>
      <c r="E491" s="1" t="n">
        <v>46304</v>
      </c>
      <c r="F491" t="inlineStr">
        <is>
          <t>KRONOBERGS LÄN</t>
        </is>
      </c>
      <c r="G491" t="inlineStr">
        <is>
          <t>ALVESTA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40566-2024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45555</v>
      </c>
      <c r="E492" s="1" t="n">
        <v>46304</v>
      </c>
      <c r="F492" t="inlineStr">
        <is>
          <t>KRONOBERGS LÄN</t>
        </is>
      </c>
      <c r="G492" t="inlineStr">
        <is>
          <t>ALVESTA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45565</v>
      </c>
      <c r="E493" s="1" t="n">
        <v>46304</v>
      </c>
      <c r="F493" t="inlineStr">
        <is>
          <t>KRONOBERGS LÄN</t>
        </is>
      </c>
      <c r="G493" t="inlineStr">
        <is>
          <t>ALVESTA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45595</v>
      </c>
      <c r="E494" s="1" t="n">
        <v>46304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45308</v>
      </c>
      <c r="E495" s="1" t="n">
        <v>46304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45146</v>
      </c>
      <c r="E496" s="1" t="n">
        <v>46304</v>
      </c>
      <c r="F496" t="inlineStr">
        <is>
          <t>KRONOBERGS LÄN</t>
        </is>
      </c>
      <c r="G496" t="inlineStr">
        <is>
          <t>ALVESTA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45330</v>
      </c>
      <c r="E497" s="1" t="n">
        <v>46304</v>
      </c>
      <c r="F497" t="inlineStr">
        <is>
          <t>KRONOBERGS LÄN</t>
        </is>
      </c>
      <c r="G497" t="inlineStr">
        <is>
          <t>ALVESTA</t>
        </is>
      </c>
      <c r="H497" t="inlineStr">
        <is>
          <t>Övriga Aktiebolag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26225-2022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44735</v>
      </c>
      <c r="E498" s="1" t="n">
        <v>46304</v>
      </c>
      <c r="F498" t="inlineStr">
        <is>
          <t>KRONOBERGS LÄN</t>
        </is>
      </c>
      <c r="G498" t="inlineStr">
        <is>
          <t>ALVESTA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54922-2024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46304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52082-2024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45608</v>
      </c>
      <c r="E500" s="1" t="n">
        <v>46304</v>
      </c>
      <c r="F500" t="inlineStr">
        <is>
          <t>KRONOBERGS LÄN</t>
        </is>
      </c>
      <c r="G500" t="inlineStr">
        <is>
          <t>ALVESTA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36565-2026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46269</v>
      </c>
      <c r="E501" s="1" t="n">
        <v>46304</v>
      </c>
      <c r="F501" t="inlineStr">
        <is>
          <t>KRONOBERGS LÄN</t>
        </is>
      </c>
      <c r="G501" t="inlineStr">
        <is>
          <t>ALVESTA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6815-2024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46304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44895</v>
      </c>
      <c r="E503" s="1" t="n">
        <v>46304</v>
      </c>
      <c r="F503" t="inlineStr">
        <is>
          <t>KRONOBERGS LÄN</t>
        </is>
      </c>
      <c r="G503" t="inlineStr">
        <is>
          <t>ALVESTA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45519</v>
      </c>
      <c r="E504" s="1" t="n">
        <v>46304</v>
      </c>
      <c r="F504" t="inlineStr">
        <is>
          <t>KRONOBERGS LÄN</t>
        </is>
      </c>
      <c r="G504" t="inlineStr">
        <is>
          <t>ALVESTA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46304</v>
      </c>
      <c r="F505" t="inlineStr">
        <is>
          <t>KRONOBERGS LÄN</t>
        </is>
      </c>
      <c r="G505" t="inlineStr">
        <is>
          <t>ALVESTA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46304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46272</v>
      </c>
      <c r="E507" s="1" t="n">
        <v>46304</v>
      </c>
      <c r="F507" t="inlineStr">
        <is>
          <t>KRONOBERGS LÄN</t>
        </is>
      </c>
      <c r="G507" t="inlineStr">
        <is>
          <t>ALVESTA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46304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45336</v>
      </c>
      <c r="E509" s="1" t="n">
        <v>46304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72318-2021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44545</v>
      </c>
      <c r="E510" s="1" t="n">
        <v>46304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46273</v>
      </c>
      <c r="E511" s="1" t="n">
        <v>46304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46304</v>
      </c>
      <c r="F512" t="inlineStr">
        <is>
          <t>KRONOBERGS LÄN</t>
        </is>
      </c>
      <c r="G512" t="inlineStr">
        <is>
          <t>ALVESTA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45153</v>
      </c>
      <c r="E513" s="1" t="n">
        <v>46304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45180</v>
      </c>
      <c r="E514" s="1" t="n">
        <v>46304</v>
      </c>
      <c r="F514" t="inlineStr">
        <is>
          <t>KRONOBERGS LÄN</t>
        </is>
      </c>
      <c r="G514" t="inlineStr">
        <is>
          <t>ALVESTA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38385-2022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44812</v>
      </c>
      <c r="E515" s="1" t="n">
        <v>46304</v>
      </c>
      <c r="F515" t="inlineStr">
        <is>
          <t>KRONOBERGS LÄN</t>
        </is>
      </c>
      <c r="G515" t="inlineStr">
        <is>
          <t>ALVESTA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14865-2024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45398</v>
      </c>
      <c r="E516" s="1" t="n">
        <v>46304</v>
      </c>
      <c r="F516" t="inlineStr">
        <is>
          <t>KRONOBERGS LÄN</t>
        </is>
      </c>
      <c r="G516" t="inlineStr">
        <is>
          <t>ALVESTA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46304</v>
      </c>
      <c r="F517" t="inlineStr">
        <is>
          <t>KRONOBERGS LÄN</t>
        </is>
      </c>
      <c r="G517" t="inlineStr">
        <is>
          <t>ALVESTA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45149</v>
      </c>
      <c r="E518" s="1" t="n">
        <v>46304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27247-2024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45471</v>
      </c>
      <c r="E519" s="1" t="n">
        <v>46304</v>
      </c>
      <c r="F519" t="inlineStr">
        <is>
          <t>KRONOBERGS LÄN</t>
        </is>
      </c>
      <c r="G519" t="inlineStr">
        <is>
          <t>ALVESTA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45471</v>
      </c>
      <c r="E520" s="1" t="n">
        <v>46304</v>
      </c>
      <c r="F520" t="inlineStr">
        <is>
          <t>KRONOBERGS LÄN</t>
        </is>
      </c>
      <c r="G520" t="inlineStr">
        <is>
          <t>ALVESTA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46274</v>
      </c>
      <c r="E521" s="1" t="n">
        <v>46304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61902-2024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45653</v>
      </c>
      <c r="E522" s="1" t="n">
        <v>46304</v>
      </c>
      <c r="F522" t="inlineStr">
        <is>
          <t>KRONOBERGS LÄN</t>
        </is>
      </c>
      <c r="G522" t="inlineStr">
        <is>
          <t>ALVESTA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45447</v>
      </c>
      <c r="E523" s="1" t="n">
        <v>46304</v>
      </c>
      <c r="F523" t="inlineStr">
        <is>
          <t>KRONOBERGS LÄN</t>
        </is>
      </c>
      <c r="G523" t="inlineStr">
        <is>
          <t>ALVESTA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46304</v>
      </c>
      <c r="F524" t="inlineStr">
        <is>
          <t>KRONOBERGS LÄN</t>
        </is>
      </c>
      <c r="G524" t="inlineStr">
        <is>
          <t>ALVESTA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46304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46304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45288</v>
      </c>
      <c r="E527" s="1" t="n">
        <v>46304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44998</v>
      </c>
      <c r="E528" s="1" t="n">
        <v>46304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45712</v>
      </c>
      <c r="E529" s="1" t="n">
        <v>46304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38255-2026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46281</v>
      </c>
      <c r="E530" s="1" t="n">
        <v>46304</v>
      </c>
      <c r="F530" t="inlineStr">
        <is>
          <t>KRONOBERGS LÄN</t>
        </is>
      </c>
      <c r="G530" t="inlineStr">
        <is>
          <t>ALVESTA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46281</v>
      </c>
      <c r="E531" s="1" t="n">
        <v>46304</v>
      </c>
      <c r="F531" t="inlineStr">
        <is>
          <t>KRONOBERGS LÄN</t>
        </is>
      </c>
      <c r="G531" t="inlineStr">
        <is>
          <t>ALVESTA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39501-2024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45551</v>
      </c>
      <c r="E532" s="1" t="n">
        <v>46304</v>
      </c>
      <c r="F532" t="inlineStr">
        <is>
          <t>KRONOBERGS LÄN</t>
        </is>
      </c>
      <c r="G532" t="inlineStr">
        <is>
          <t>ALVESTA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45385</v>
      </c>
      <c r="E533" s="1" t="n">
        <v>46304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31121-2023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46304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45700</v>
      </c>
      <c r="E535" s="1" t="n">
        <v>46304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32326-2026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46238</v>
      </c>
      <c r="E536" s="1" t="n">
        <v>46304</v>
      </c>
      <c r="F536" t="inlineStr">
        <is>
          <t>KRONOBERGS LÄN</t>
        </is>
      </c>
      <c r="G536" t="inlineStr">
        <is>
          <t>ALVESTA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46304</v>
      </c>
      <c r="F537" t="inlineStr">
        <is>
          <t>KRONOBERGS LÄN</t>
        </is>
      </c>
      <c r="G537" t="inlineStr">
        <is>
          <t>ALVESTA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45407</v>
      </c>
      <c r="E538" s="1" t="n">
        <v>46304</v>
      </c>
      <c r="F538" t="inlineStr">
        <is>
          <t>KRONOBERGS LÄN</t>
        </is>
      </c>
      <c r="G538" t="inlineStr">
        <is>
          <t>ALVESTA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17790-2024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45418</v>
      </c>
      <c r="E539" s="1" t="n">
        <v>46304</v>
      </c>
      <c r="F539" t="inlineStr">
        <is>
          <t>KRONOBERGS LÄN</t>
        </is>
      </c>
      <c r="G539" t="inlineStr">
        <is>
          <t>ALVESTA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46304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46286</v>
      </c>
      <c r="E541" s="1" t="n">
        <v>46304</v>
      </c>
      <c r="F541" t="inlineStr">
        <is>
          <t>KRONOBERGS LÄN</t>
        </is>
      </c>
      <c r="G541" t="inlineStr">
        <is>
          <t>ALVESTA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46286</v>
      </c>
      <c r="E542" s="1" t="n">
        <v>46304</v>
      </c>
      <c r="F542" t="inlineStr">
        <is>
          <t>KRONOBERGS LÄN</t>
        </is>
      </c>
      <c r="G542" t="inlineStr">
        <is>
          <t>ALVESTA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46304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46304</v>
      </c>
      <c r="F544" t="inlineStr">
        <is>
          <t>KRONOBERGS LÄN</t>
        </is>
      </c>
      <c r="G544" t="inlineStr">
        <is>
          <t>ALVESTA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45440</v>
      </c>
      <c r="E545" s="1" t="n">
        <v>46304</v>
      </c>
      <c r="F545" t="inlineStr">
        <is>
          <t>KRONOBERGS LÄN</t>
        </is>
      </c>
      <c r="G545" t="inlineStr">
        <is>
          <t>ALVESTA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45456</v>
      </c>
      <c r="E546" s="1" t="n">
        <v>46304</v>
      </c>
      <c r="F546" t="inlineStr">
        <is>
          <t>KRONOBERGS LÄN</t>
        </is>
      </c>
      <c r="G546" t="inlineStr">
        <is>
          <t>ALVESTA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45363</v>
      </c>
      <c r="E547" s="1" t="n">
        <v>46304</v>
      </c>
      <c r="F547" t="inlineStr">
        <is>
          <t>KRONOBERGS LÄN</t>
        </is>
      </c>
      <c r="G547" t="inlineStr">
        <is>
          <t>ALVESTA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45705</v>
      </c>
      <c r="E548" s="1" t="n">
        <v>46304</v>
      </c>
      <c r="F548" t="inlineStr">
        <is>
          <t>KRONOBERGS LÄN</t>
        </is>
      </c>
      <c r="G548" t="inlineStr">
        <is>
          <t>ALVESTA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46286</v>
      </c>
      <c r="E549" s="1" t="n">
        <v>46304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23006-2025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46304</v>
      </c>
      <c r="F550" t="inlineStr">
        <is>
          <t>KRONOBERGS LÄN</t>
        </is>
      </c>
      <c r="G550" t="inlineStr">
        <is>
          <t>ALVESTA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46304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46241</v>
      </c>
      <c r="E552" s="1" t="n">
        <v>46304</v>
      </c>
      <c r="F552" t="inlineStr">
        <is>
          <t>KRONOBERGS LÄN</t>
        </is>
      </c>
      <c r="G552" t="inlineStr">
        <is>
          <t>ALVESTA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46304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46241</v>
      </c>
      <c r="E554" s="1" t="n">
        <v>46304</v>
      </c>
      <c r="F554" t="inlineStr">
        <is>
          <t>KRONOBERGS LÄN</t>
        </is>
      </c>
      <c r="G554" t="inlineStr">
        <is>
          <t>ALVESTA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46241</v>
      </c>
      <c r="E555" s="1" t="n">
        <v>46304</v>
      </c>
      <c r="F555" t="inlineStr">
        <is>
          <t>KRONOBERGS LÄN</t>
        </is>
      </c>
      <c r="G555" t="inlineStr">
        <is>
          <t>ALVESTA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39033-2026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46287</v>
      </c>
      <c r="E556" s="1" t="n">
        <v>46304</v>
      </c>
      <c r="F556" t="inlineStr">
        <is>
          <t>KRONOBERGS LÄN</t>
        </is>
      </c>
      <c r="G556" t="inlineStr">
        <is>
          <t>ALVESTA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46304</v>
      </c>
      <c r="F557" t="inlineStr">
        <is>
          <t>KRONOBERGS LÄN</t>
        </is>
      </c>
      <c r="G557" t="inlineStr">
        <is>
          <t>ALVESTA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46304</v>
      </c>
      <c r="F558" t="inlineStr">
        <is>
          <t>KRONOBERGS LÄN</t>
        </is>
      </c>
      <c r="G558" t="inlineStr">
        <is>
          <t>ALVESTA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46304</v>
      </c>
      <c r="F559" t="inlineStr">
        <is>
          <t>KRONOBERGS LÄN</t>
        </is>
      </c>
      <c r="G559" t="inlineStr">
        <is>
          <t>ALVESTA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45015</v>
      </c>
      <c r="E560" s="1" t="n">
        <v>46304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39405-2026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46288</v>
      </c>
      <c r="E561" s="1" t="n">
        <v>46304</v>
      </c>
      <c r="F561" t="inlineStr">
        <is>
          <t>KRONOBERGS LÄN</t>
        </is>
      </c>
      <c r="G561" t="inlineStr">
        <is>
          <t>ALVESTA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37940-2024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46304</v>
      </c>
      <c r="F562" t="inlineStr">
        <is>
          <t>KRONOBERGS LÄN</t>
        </is>
      </c>
      <c r="G562" t="inlineStr">
        <is>
          <t>ALVESTA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46304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46304</v>
      </c>
      <c r="F564" t="inlineStr">
        <is>
          <t>KRONOBERGS LÄN</t>
        </is>
      </c>
      <c r="G564" t="inlineStr">
        <is>
          <t>ALVESTA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46304</v>
      </c>
      <c r="F565" t="inlineStr">
        <is>
          <t>KRONOBERGS LÄN</t>
        </is>
      </c>
      <c r="G565" t="inlineStr">
        <is>
          <t>ALVESTA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46304</v>
      </c>
      <c r="F566" t="inlineStr">
        <is>
          <t>KRONOBERGS LÄN</t>
        </is>
      </c>
      <c r="G566" t="inlineStr">
        <is>
          <t>ALVESTA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46304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25220-2025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45798</v>
      </c>
      <c r="E568" s="1" t="n">
        <v>46304</v>
      </c>
      <c r="F568" t="inlineStr">
        <is>
          <t>KRONOBERGS LÄN</t>
        </is>
      </c>
      <c r="G568" t="inlineStr">
        <is>
          <t>ALVESTA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44601</v>
      </c>
      <c r="E569" s="1" t="n">
        <v>46304</v>
      </c>
      <c r="F569" t="inlineStr">
        <is>
          <t>KRONOBERGS LÄN</t>
        </is>
      </c>
      <c r="G569" t="inlineStr">
        <is>
          <t>ALVESTA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46304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46304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46304</v>
      </c>
      <c r="F572" t="inlineStr">
        <is>
          <t>KRONOBERGS LÄN</t>
        </is>
      </c>
      <c r="G572" t="inlineStr">
        <is>
          <t>ALVESTA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46304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46304</v>
      </c>
      <c r="F574" t="inlineStr">
        <is>
          <t>KRONOBERGS LÄN</t>
        </is>
      </c>
      <c r="G574" t="inlineStr">
        <is>
          <t>ALVESTA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44816</v>
      </c>
      <c r="E575" s="1" t="n">
        <v>46304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46290</v>
      </c>
      <c r="E576" s="1" t="n">
        <v>46304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59052-2021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44490</v>
      </c>
      <c r="E577" s="1" t="n">
        <v>46304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46304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46304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46304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40065-2026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46293</v>
      </c>
      <c r="E581" s="1" t="n">
        <v>46304</v>
      </c>
      <c r="F581" t="inlineStr">
        <is>
          <t>KRONOBERGS LÄN</t>
        </is>
      </c>
      <c r="G581" t="inlineStr">
        <is>
          <t>ALVESTA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46304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46304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45384</v>
      </c>
      <c r="E584" s="1" t="n">
        <v>46304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46304</v>
      </c>
      <c r="F585" t="inlineStr">
        <is>
          <t>KRONOBERGS LÄN</t>
        </is>
      </c>
      <c r="G585" t="inlineStr">
        <is>
          <t>ALVESTA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45824</v>
      </c>
      <c r="E586" s="1" t="n">
        <v>46304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29163-2025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45821</v>
      </c>
      <c r="E587" s="1" t="n">
        <v>46304</v>
      </c>
      <c r="F587" t="inlineStr">
        <is>
          <t>KRONOBERGS LÄN</t>
        </is>
      </c>
      <c r="G587" t="inlineStr">
        <is>
          <t>ALVESTA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46304</v>
      </c>
      <c r="F588" t="inlineStr">
        <is>
          <t>KRONOBERGS LÄN</t>
        </is>
      </c>
      <c r="G588" t="inlineStr">
        <is>
          <t>ALVESTA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30222-2025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46304</v>
      </c>
      <c r="F589" t="inlineStr">
        <is>
          <t>KRONOBERGS LÄN</t>
        </is>
      </c>
      <c r="G589" t="inlineStr">
        <is>
          <t>ALVESTA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46304</v>
      </c>
      <c r="F590" t="inlineStr">
        <is>
          <t>KRONOBERGS LÄN</t>
        </is>
      </c>
      <c r="G590" t="inlineStr">
        <is>
          <t>ALVESTA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19286-2025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45769</v>
      </c>
      <c r="E591" s="1" t="n">
        <v>46304</v>
      </c>
      <c r="F591" t="inlineStr">
        <is>
          <t>KRONOBERGS LÄN</t>
        </is>
      </c>
      <c r="G591" t="inlineStr">
        <is>
          <t>ALVESTA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46304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46304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46304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46297</v>
      </c>
      <c r="E595" s="1" t="n">
        <v>46304</v>
      </c>
      <c r="F595" t="inlineStr">
        <is>
          <t>KRONOBERGS LÄN</t>
        </is>
      </c>
      <c r="G595" t="inlineStr">
        <is>
          <t>ALVESTA</t>
        </is>
      </c>
      <c r="H595" t="inlineStr">
        <is>
          <t>Övriga Aktiebolag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40836-2026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46296</v>
      </c>
      <c r="E596" s="1" t="n">
        <v>46304</v>
      </c>
      <c r="F596" t="inlineStr">
        <is>
          <t>KRONOBERGS LÄN</t>
        </is>
      </c>
      <c r="G596" t="inlineStr">
        <is>
          <t>ALVESTA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59340-2025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45989</v>
      </c>
      <c r="E597" s="1" t="n">
        <v>46304</v>
      </c>
      <c r="F597" t="inlineStr">
        <is>
          <t>KRONOBERGS LÄN</t>
        </is>
      </c>
      <c r="G597" t="inlineStr">
        <is>
          <t>ALVESTA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41054-2026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46300</v>
      </c>
      <c r="E598" s="1" t="n">
        <v>46304</v>
      </c>
      <c r="F598" t="inlineStr">
        <is>
          <t>KRONOBERGS LÄN</t>
        </is>
      </c>
      <c r="G598" t="inlineStr">
        <is>
          <t>ALVESTA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46304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46304</v>
      </c>
      <c r="F600" t="inlineStr">
        <is>
          <t>KRONOBERGS LÄN</t>
        </is>
      </c>
      <c r="G600" t="inlineStr">
        <is>
          <t>ALVESTA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46302</v>
      </c>
      <c r="E601" s="1" t="n">
        <v>46304</v>
      </c>
      <c r="F601" t="inlineStr">
        <is>
          <t>KRONOBERGS LÄN</t>
        </is>
      </c>
      <c r="G601" t="inlineStr">
        <is>
          <t>ALVESTA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46303</v>
      </c>
      <c r="E602" s="1" t="n">
        <v>46304</v>
      </c>
      <c r="F602" t="inlineStr">
        <is>
          <t>KRONOBERGS LÄN</t>
        </is>
      </c>
      <c r="G602" t="inlineStr">
        <is>
          <t>ALVESTA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46304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46304</v>
      </c>
      <c r="F604" t="inlineStr">
        <is>
          <t>KRONOBERGS LÄN</t>
        </is>
      </c>
      <c r="G604" t="inlineStr">
        <is>
          <t>ALVESTA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41789-2026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46303</v>
      </c>
      <c r="E605" s="1" t="n">
        <v>46304</v>
      </c>
      <c r="F605" t="inlineStr">
        <is>
          <t>KRONOBERGS LÄN</t>
        </is>
      </c>
      <c r="G605" t="inlineStr">
        <is>
          <t>ALVESTA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46304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46304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46304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46304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46304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46304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46304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46304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46304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46304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46304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46304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46304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46304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46304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46304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46304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46304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46304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46304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46304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46304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46304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46304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46304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46304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46304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46304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46304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46304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46304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46304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2026-10-09T02:07:58Z</dcterms:created>
  <dcterms:modified xmlns:dcterms="http://purl.org/dc/terms/" xmlns:xsi="http://www.w3.org/2001/XMLSchema-instance" xsi:type="dcterms:W3CDTF">2026-10-09T02:07:59Z</dcterms:modified>
</cp:coreProperties>
</file>