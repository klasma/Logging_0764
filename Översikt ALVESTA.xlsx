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46302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46302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46302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46302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46302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46302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46302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46302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46302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46302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46302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46302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35257-2026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46261</v>
      </c>
      <c r="E27" s="1" t="n">
        <v>46302</v>
      </c>
      <c r="F27" t="inlineStr">
        <is>
          <t>KRONOBERGS LÄN</t>
        </is>
      </c>
      <c r="G27" t="inlineStr">
        <is>
          <t>ALVESTA</t>
        </is>
      </c>
      <c r="I27" t="n">
        <v>3.5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Sotvaxskivling
Västlig hakmossa</t>
        </is>
      </c>
      <c r="W27">
        <f>HYPERLINK("https://klasma.github.io/Logging_0764/artfynd/A 35257-2026 artfynd.xlsx", "A 35257-2026")</f>
        <v/>
      </c>
      <c r="X27">
        <f>HYPERLINK("https://klasma.github.io/Logging_0764/kartor/A 35257-2026 karta.png", "A 35257-2026")</f>
        <v/>
      </c>
      <c r="Y27">
        <f>HYPERLINK("https://klasma.github.io/Logging_0764/kartor_geotiff/A 35257-2026 georefererad karta.tif", "A 35257-2026")</f>
        <v/>
      </c>
      <c r="AA27">
        <f>HYPERLINK("https://klasma.github.io/Logging_0764/klagomål/A 35257-2026 FSC-klagomål.docx", "A 35257-2026")</f>
        <v/>
      </c>
      <c r="AB27">
        <f>HYPERLINK("https://klasma.github.io/Logging_0764/klagomålsmail/A 35257-2026 FSC-klagomål mail.docx", "A 35257-2026")</f>
        <v/>
      </c>
      <c r="AC27">
        <f>HYPERLINK("https://klasma.github.io/Logging_0764/tillsyn/A 35257-2026 tillsynsbegäran.docx", "A 35257-2026")</f>
        <v/>
      </c>
      <c r="AD27">
        <f>HYPERLINK("https://klasma.github.io/Logging_0764/tillsynsmail/A 35257-2026 tillsynsbegäran mail.docx", "A 35257-2026")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46302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46302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59362-2024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45638</v>
      </c>
      <c r="E30" s="1" t="n">
        <v>46302</v>
      </c>
      <c r="F30" t="inlineStr">
        <is>
          <t>KRONOBERGS LÄN</t>
        </is>
      </c>
      <c r="G30" t="inlineStr">
        <is>
          <t>ALVESTA</t>
        </is>
      </c>
      <c r="I30" t="n">
        <v>0.6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Brandticka
Västlig hakmossa</t>
        </is>
      </c>
      <c r="W30">
        <f>HYPERLINK("https://klasma.github.io/Logging_0764/artfynd/A 59362-2024 artfynd.xlsx", "A 59362-2024")</f>
        <v/>
      </c>
      <c r="X30">
        <f>HYPERLINK("https://klasma.github.io/Logging_0764/kartor/A 59362-2024 karta.png", "A 59362-2024")</f>
        <v/>
      </c>
      <c r="Y30">
        <f>HYPERLINK("https://klasma.github.io/Logging_0764/kartor_geotiff/A 59362-2024 georefererad karta.tif", "A 59362-2024")</f>
        <v/>
      </c>
      <c r="AA30">
        <f>HYPERLINK("https://klasma.github.io/Logging_0764/klagomål/A 59362-2024 FSC-klagomål.docx", "A 59362-2024")</f>
        <v/>
      </c>
      <c r="AB30">
        <f>HYPERLINK("https://klasma.github.io/Logging_0764/klagomålsmail/A 59362-2024 FSC-klagomål mail.docx", "A 59362-2024")</f>
        <v/>
      </c>
      <c r="AC30">
        <f>HYPERLINK("https://klasma.github.io/Logging_0764/tillsyn/A 59362-2024 tillsynsbegäran.docx", "A 59362-2024")</f>
        <v/>
      </c>
      <c r="AD30">
        <f>HYPERLINK("https://klasma.github.io/Logging_0764/tillsynsmail/A 59362-2024 tillsynsbegäran mail.docx", "A 59362-2024")</f>
        <v/>
      </c>
    </row>
    <row r="31" ht="15" customHeight="1">
      <c r="A31" t="inlineStr">
        <is>
          <t>A 28740-2024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46302</v>
      </c>
      <c r="F31" t="inlineStr">
        <is>
          <t>KRONOBERGS LÄN</t>
        </is>
      </c>
      <c r="G31" t="inlineStr">
        <is>
          <t>ALVESTA</t>
        </is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Revlummer</t>
        </is>
      </c>
      <c r="W31">
        <f>HYPERLINK("https://klasma.github.io/Logging_0764/artfynd/A 28740-2024 artfynd.xlsx", "A 28740-2024")</f>
        <v/>
      </c>
      <c r="X31">
        <f>HYPERLINK("https://klasma.github.io/Logging_0764/kartor/A 28740-2024 karta.png", "A 28740-2024")</f>
        <v/>
      </c>
      <c r="Y31">
        <f>HYPERLINK("https://klasma.github.io/Logging_0764/kartor_geotiff/A 28740-2024 georefererad karta.tif", "A 28740-2024")</f>
        <v/>
      </c>
      <c r="AA31">
        <f>HYPERLINK("https://klasma.github.io/Logging_0764/klagomål/A 28740-2024 FSC-klagomål.docx", "A 28740-2024")</f>
        <v/>
      </c>
      <c r="AB31">
        <f>HYPERLINK("https://klasma.github.io/Logging_0764/klagomålsmail/A 28740-2024 FSC-klagomål mail.docx", "A 28740-2024")</f>
        <v/>
      </c>
      <c r="AC31">
        <f>HYPERLINK("https://klasma.github.io/Logging_0764/tillsyn/A 28740-2024 tillsynsbegäran.docx", "A 28740-2024")</f>
        <v/>
      </c>
      <c r="AD31">
        <f>HYPERLINK("https://klasma.github.io/Logging_0764/tillsynsmail/A 28740-2024 tillsynsbegäran mail.docx", "A 28740-2024")</f>
        <v/>
      </c>
    </row>
    <row r="32" ht="15" customHeight="1">
      <c r="A32" t="inlineStr">
        <is>
          <t>A 1811-2025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45670</v>
      </c>
      <c r="E32" s="1" t="n">
        <v>46302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2.3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Blomkålssvamp
Spillkråka</t>
        </is>
      </c>
      <c r="W32">
        <f>HYPERLINK("https://klasma.github.io/Logging_0764/artfynd/A 1811-2025 artfynd.xlsx", "A 1811-2025")</f>
        <v/>
      </c>
      <c r="X32">
        <f>HYPERLINK("https://klasma.github.io/Logging_0764/kartor/A 1811-2025 karta.png", "A 1811-2025")</f>
        <v/>
      </c>
      <c r="Y32">
        <f>HYPERLINK("https://klasma.github.io/Logging_0764/kartor_geotiff/A 1811-2025 georefererad karta.tif", "A 1811-2025")</f>
        <v/>
      </c>
      <c r="AA32">
        <f>HYPERLINK("https://klasma.github.io/Logging_0764/klagomål/A 1811-2025 FSC-klagomål.docx", "A 1811-2025")</f>
        <v/>
      </c>
      <c r="AB32">
        <f>HYPERLINK("https://klasma.github.io/Logging_0764/klagomålsmail/A 1811-2025 FSC-klagomål mail.docx", "A 1811-2025")</f>
        <v/>
      </c>
      <c r="AC32">
        <f>HYPERLINK("https://klasma.github.io/Logging_0764/tillsyn/A 1811-2025 tillsynsbegäran.docx", "A 1811-2025")</f>
        <v/>
      </c>
      <c r="AD32">
        <f>HYPERLINK("https://klasma.github.io/Logging_0764/tillsynsmail/A 1811-2025 tillsynsbegäran mail.docx", "A 1811-2025")</f>
        <v/>
      </c>
      <c r="AE32">
        <f>HYPERLINK("https://klasma.github.io/Logging_0764/fåglar/A 1811-2025 prioriterade fågelarter.docx", "A 1811-2025")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46302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46302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46302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46302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46302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46302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46302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29382-2023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46302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29382-2023 artfynd.xlsx", "A 29382-2023")</f>
        <v/>
      </c>
      <c r="X40">
        <f>HYPERLINK("https://klasma.github.io/Logging_0764/kartor/A 29382-2023 karta.png", "A 29382-2023")</f>
        <v/>
      </c>
      <c r="Y40">
        <f>HYPERLINK("https://klasma.github.io/Logging_0764/kartor_geotiff/A 29382-2023 georefererad karta.tif", "A 29382-2023")</f>
        <v/>
      </c>
      <c r="AA40">
        <f>HYPERLINK("https://klasma.github.io/Logging_0764/klagomål/A 29382-2023 FSC-klagomål.docx", "A 29382-2023")</f>
        <v/>
      </c>
      <c r="AB40">
        <f>HYPERLINK("https://klasma.github.io/Logging_0764/klagomålsmail/A 29382-2023 FSC-klagomål mail.docx", "A 29382-2023")</f>
        <v/>
      </c>
      <c r="AC40">
        <f>HYPERLINK("https://klasma.github.io/Logging_0764/tillsyn/A 29382-2023 tillsynsbegäran.docx", "A 29382-2023")</f>
        <v/>
      </c>
      <c r="AD40">
        <f>HYPERLINK("https://klasma.github.io/Logging_0764/tillsynsmail/A 29382-2023 tillsynsbegäran mail.docx", "A 29382-2023")</f>
        <v/>
      </c>
    </row>
    <row r="41" ht="15" customHeight="1">
      <c r="A41" t="inlineStr">
        <is>
          <t>A 12221-2024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46302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Brandticka</t>
        </is>
      </c>
      <c r="W41">
        <f>HYPERLINK("https://klasma.github.io/Logging_0764/artfynd/A 12221-2024 artfynd.xlsx", "A 12221-2024")</f>
        <v/>
      </c>
      <c r="X41">
        <f>HYPERLINK("https://klasma.github.io/Logging_0764/kartor/A 12221-2024 karta.png", "A 12221-2024")</f>
        <v/>
      </c>
      <c r="Y41">
        <f>HYPERLINK("https://klasma.github.io/Logging_0764/kartor_geotiff/A 12221-2024 georefererad karta.tif", "A 12221-2024")</f>
        <v/>
      </c>
      <c r="AA41">
        <f>HYPERLINK("https://klasma.github.io/Logging_0764/klagomål/A 12221-2024 FSC-klagomål.docx", "A 12221-2024")</f>
        <v/>
      </c>
      <c r="AB41">
        <f>HYPERLINK("https://klasma.github.io/Logging_0764/klagomålsmail/A 12221-2024 FSC-klagomål mail.docx", "A 12221-2024")</f>
        <v/>
      </c>
      <c r="AC41">
        <f>HYPERLINK("https://klasma.github.io/Logging_0764/tillsyn/A 12221-2024 tillsynsbegäran.docx", "A 12221-2024")</f>
        <v/>
      </c>
      <c r="AD41">
        <f>HYPERLINK("https://klasma.github.io/Logging_0764/tillsynsmail/A 12221-2024 tillsynsbegäran mail.docx", "A 12221-2024")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46302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35279-2022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44798</v>
      </c>
      <c r="E43" s="1" t="n">
        <v>46302</v>
      </c>
      <c r="F43" t="inlineStr">
        <is>
          <t>KRONOBERGS LÄN</t>
        </is>
      </c>
      <c r="G43" t="inlineStr">
        <is>
          <t>ALVESTA</t>
        </is>
      </c>
      <c r="H43" t="inlineStr">
        <is>
          <t>Kyrkan</t>
        </is>
      </c>
      <c r="I43" t="n">
        <v>3.8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2</v>
      </c>
      <c r="V43" s="2" t="inlineStr">
        <is>
          <t>Knärot</t>
        </is>
      </c>
      <c r="W43">
        <f>HYPERLINK("https://klasma.github.io/Logging_0764/artfynd/A 35279-2022 artfynd.xlsx", "A 35279-2022")</f>
        <v/>
      </c>
      <c r="X43">
        <f>HYPERLINK("https://klasma.github.io/Logging_0764/kartor/A 35279-2022 karta.png", "A 35279-2022")</f>
        <v/>
      </c>
      <c r="Y43">
        <f>HYPERLINK("https://klasma.github.io/Logging_0764/kartor_geotiff/A 35279-2022 georefererad karta.tif", "A 35279-2022")</f>
        <v/>
      </c>
      <c r="Z43">
        <f>HYPERLINK("https://klasma.github.io/Logging_0764/knärot/A 35279-2022 karta knärot.png", "A 35279-2022")</f>
        <v/>
      </c>
      <c r="AA43">
        <f>HYPERLINK("https://klasma.github.io/Logging_0764/klagomål/A 35279-2022 FSC-klagomål.docx", "A 35279-2022")</f>
        <v/>
      </c>
      <c r="AB43">
        <f>HYPERLINK("https://klasma.github.io/Logging_0764/klagomålsmail/A 35279-2022 FSC-klagomål mail.docx", "A 35279-2022")</f>
        <v/>
      </c>
      <c r="AC43">
        <f>HYPERLINK("https://klasma.github.io/Logging_0764/tillsyn/A 35279-2022 tillsynsbegäran.docx", "A 35279-2022")</f>
        <v/>
      </c>
      <c r="AD43">
        <f>HYPERLINK("https://klasma.github.io/Logging_0764/tillsynsmail/A 35279-2022 tillsynsbegäran mail.docx", "A 35279-2022")</f>
        <v/>
      </c>
    </row>
    <row r="44" ht="15" customHeight="1">
      <c r="A44" t="inlineStr">
        <is>
          <t>A 60729-2025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45996</v>
      </c>
      <c r="E44" s="1" t="n">
        <v>46302</v>
      </c>
      <c r="F44" t="inlineStr">
        <is>
          <t>KRONOBERGS LÄN</t>
        </is>
      </c>
      <c r="G44" t="inlineStr">
        <is>
          <t>ALVESTA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HYPERLINK("https://klasma.github.io/Logging_0764/artfynd/A 60729-2025 artfynd.xlsx", "A 60729-2025")</f>
        <v/>
      </c>
      <c r="X44">
        <f>HYPERLINK("https://klasma.github.io/Logging_0764/kartor/A 60729-2025 karta.png", "A 60729-2025")</f>
        <v/>
      </c>
      <c r="Y44">
        <f>HYPERLINK("https://klasma.github.io/Logging_0764/kartor_geotiff/A 60729-2025 georefererad karta.tif", "A 60729-2025")</f>
        <v/>
      </c>
      <c r="AA44">
        <f>HYPERLINK("https://klasma.github.io/Logging_0764/klagomål/A 60729-2025 FSC-klagomål.docx", "A 60729-2025")</f>
        <v/>
      </c>
      <c r="AB44">
        <f>HYPERLINK("https://klasma.github.io/Logging_0764/klagomålsmail/A 60729-2025 FSC-klagomål mail.docx", "A 60729-2025")</f>
        <v/>
      </c>
      <c r="AC44">
        <f>HYPERLINK("https://klasma.github.io/Logging_0764/tillsyn/A 60729-2025 tillsynsbegäran.docx", "A 60729-2025")</f>
        <v/>
      </c>
      <c r="AD44">
        <f>HYPERLINK("https://klasma.github.io/Logging_0764/tillsynsmail/A 60729-2025 tillsynsbegäran mail.docx", "A 60729-2025")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46302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46302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47338-2022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46302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HYPERLINK("https://klasma.github.io/Logging_0764/artfynd/A 47338-2022 artfynd.xlsx", "A 47338-2022")</f>
        <v/>
      </c>
      <c r="X47">
        <f>HYPERLINK("https://klasma.github.io/Logging_0764/kartor/A 47338-2022 karta.png", "A 47338-2022")</f>
        <v/>
      </c>
      <c r="Y47">
        <f>HYPERLINK("https://klasma.github.io/Logging_0764/kartor_geotiff/A 47338-2022 georefererad karta.tif", "A 47338-2022")</f>
        <v/>
      </c>
      <c r="AA47">
        <f>HYPERLINK("https://klasma.github.io/Logging_0764/klagomål/A 47338-2022 FSC-klagomål.docx", "A 47338-2022")</f>
        <v/>
      </c>
      <c r="AB47">
        <f>HYPERLINK("https://klasma.github.io/Logging_0764/klagomålsmail/A 47338-2022 FSC-klagomål mail.docx", "A 47338-2022")</f>
        <v/>
      </c>
      <c r="AC47">
        <f>HYPERLINK("https://klasma.github.io/Logging_0764/tillsyn/A 47338-2022 tillsynsbegäran.docx", "A 47338-2022")</f>
        <v/>
      </c>
      <c r="AD47">
        <f>HYPERLINK("https://klasma.github.io/Logging_0764/tillsynsmail/A 47338-2022 tillsynsbegäran mail.docx", "A 47338-2022")</f>
        <v/>
      </c>
      <c r="AE47">
        <f>HYPERLINK("https://klasma.github.io/Logging_0764/fåglar/A 47338-2022 prioriterade fågelarter.docx", "A 47338-2022")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46302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46302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46302</v>
      </c>
      <c r="F50" t="inlineStr">
        <is>
          <t>KRONOBERGS LÄN</t>
        </is>
      </c>
      <c r="G50" t="inlineStr">
        <is>
          <t>ALVESTA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Blomkålssvamp</t>
        </is>
      </c>
      <c r="W50">
        <f>HYPERLINK("https://klasma.github.io/Logging_0764/artfynd/A 18676-2023 artfynd.xlsx", "A 18676-2023")</f>
        <v/>
      </c>
      <c r="X50">
        <f>HYPERLINK("https://klasma.github.io/Logging_0764/kartor/A 18676-2023 karta.png", "A 18676-2023")</f>
        <v/>
      </c>
      <c r="Y50">
        <f>HYPERLINK("https://klasma.github.io/Logging_0764/kartor_geotiff/A 18676-2023 georefererad karta.tif", "A 18676-2023")</f>
        <v/>
      </c>
      <c r="AA50">
        <f>HYPERLINK("https://klasma.github.io/Logging_0764/klagomål/A 18676-2023 FSC-klagomål.docx", "A 18676-2023")</f>
        <v/>
      </c>
      <c r="AB50">
        <f>HYPERLINK("https://klasma.github.io/Logging_0764/klagomålsmail/A 18676-2023 FSC-klagomål mail.docx", "A 18676-2023")</f>
        <v/>
      </c>
      <c r="AC50">
        <f>HYPERLINK("https://klasma.github.io/Logging_0764/tillsyn/A 18676-2023 tillsynsbegäran.docx", "A 18676-2023")</f>
        <v/>
      </c>
      <c r="AD50">
        <f>HYPERLINK("https://klasma.github.io/Logging_0764/tillsynsmail/A 18676-2023 tillsynsbegäran mail.docx", "A 18676-2023")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46302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46302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46302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46302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46302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46302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46302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46302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46302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46302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46302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46302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46302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44477</v>
      </c>
      <c r="E67" s="1" t="n">
        <v>46302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46302</v>
      </c>
      <c r="F68" t="inlineStr">
        <is>
          <t>KRONOBERGS LÄN</t>
        </is>
      </c>
      <c r="G68" t="inlineStr">
        <is>
          <t>ALVESTA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46302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46302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46302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46302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46302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46302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46302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46302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46302</v>
      </c>
      <c r="F77" t="inlineStr">
        <is>
          <t>KRONOBERGS LÄN</t>
        </is>
      </c>
      <c r="G77" t="inlineStr">
        <is>
          <t>ALVESTA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46302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46302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46302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46302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46302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46302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46302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46302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46302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46302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46302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46302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46302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46302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46302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46302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46302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46302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46302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46302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46302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46302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46302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46302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46302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46302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46302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46302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44656</v>
      </c>
      <c r="E106" s="1" t="n">
        <v>46302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46302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45338</v>
      </c>
      <c r="E108" s="1" t="n">
        <v>46302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46302</v>
      </c>
      <c r="F109" t="inlineStr">
        <is>
          <t>KRONOBERGS LÄN</t>
        </is>
      </c>
      <c r="G109" t="inlineStr">
        <is>
          <t>ALVESTA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46302</v>
      </c>
      <c r="F110" t="inlineStr">
        <is>
          <t>KRONOBERGS LÄN</t>
        </is>
      </c>
      <c r="G110" t="inlineStr">
        <is>
          <t>ALVESTA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46302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46302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46302</v>
      </c>
      <c r="F113" t="inlineStr">
        <is>
          <t>KRONOBERGS LÄN</t>
        </is>
      </c>
      <c r="G113" t="inlineStr">
        <is>
          <t>ALVESTA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760-2022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44569</v>
      </c>
      <c r="E114" s="1" t="n">
        <v>46302</v>
      </c>
      <c r="F114" t="inlineStr">
        <is>
          <t>KRONOBERGS LÄN</t>
        </is>
      </c>
      <c r="G114" t="inlineStr">
        <is>
          <t>ALVESTA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44783</v>
      </c>
      <c r="E115" s="1" t="n">
        <v>46302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46302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46302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44985</v>
      </c>
      <c r="E118" s="1" t="n">
        <v>46302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46302</v>
      </c>
      <c r="F119" t="inlineStr">
        <is>
          <t>KRONOBERGS LÄN</t>
        </is>
      </c>
      <c r="G119" t="inlineStr">
        <is>
          <t>ALVESTA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46302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46302</v>
      </c>
      <c r="F121" t="inlineStr">
        <is>
          <t>KRONOBERGS LÄN</t>
        </is>
      </c>
      <c r="G121" t="inlineStr">
        <is>
          <t>ALVESTA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44783</v>
      </c>
      <c r="E122" s="1" t="n">
        <v>46302</v>
      </c>
      <c r="F122" t="inlineStr">
        <is>
          <t>KRONOBERGS LÄN</t>
        </is>
      </c>
      <c r="G122" t="inlineStr">
        <is>
          <t>ALVESTA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46302</v>
      </c>
      <c r="F123" t="inlineStr">
        <is>
          <t>KRONOBERGS LÄN</t>
        </is>
      </c>
      <c r="G123" t="inlineStr">
        <is>
          <t>ALVESTA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46302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46302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46302</v>
      </c>
      <c r="F126" t="inlineStr">
        <is>
          <t>KRONOBERGS LÄN</t>
        </is>
      </c>
      <c r="G126" t="inlineStr">
        <is>
          <t>ALVESTA</t>
        </is>
      </c>
      <c r="H126" t="inlineStr">
        <is>
          <t>Kommuner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46302</v>
      </c>
      <c r="F127" t="inlineStr">
        <is>
          <t>KRONOBERGS LÄN</t>
        </is>
      </c>
      <c r="G127" t="inlineStr">
        <is>
          <t>ALVESTA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46302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46302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46302</v>
      </c>
      <c r="F130" t="inlineStr">
        <is>
          <t>KRONOBERGS LÄN</t>
        </is>
      </c>
      <c r="G130" t="inlineStr">
        <is>
          <t>ALVESTA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45518</v>
      </c>
      <c r="E131" s="1" t="n">
        <v>46302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46302</v>
      </c>
      <c r="F132" t="inlineStr">
        <is>
          <t>KRONOBERGS LÄN</t>
        </is>
      </c>
      <c r="G132" t="inlineStr">
        <is>
          <t>ALVESTA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44754</v>
      </c>
      <c r="E133" s="1" t="n">
        <v>46302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46302</v>
      </c>
      <c r="F134" t="inlineStr">
        <is>
          <t>KRONOBERGS LÄN</t>
        </is>
      </c>
      <c r="G134" t="inlineStr">
        <is>
          <t>ALVESTA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46302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46302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45135</v>
      </c>
      <c r="E137" s="1" t="n">
        <v>46302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46302</v>
      </c>
      <c r="F138" t="inlineStr">
        <is>
          <t>KRONOBERGS LÄN</t>
        </is>
      </c>
      <c r="G138" t="inlineStr">
        <is>
          <t>ALVESTA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60487-2023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46302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46302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44970</v>
      </c>
      <c r="E141" s="1" t="n">
        <v>46302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46302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46302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45216</v>
      </c>
      <c r="E144" s="1" t="n">
        <v>46302</v>
      </c>
      <c r="F144" t="inlineStr">
        <is>
          <t>KRONOBERGS LÄN</t>
        </is>
      </c>
      <c r="G144" t="inlineStr">
        <is>
          <t>ALVESTA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46302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46302</v>
      </c>
      <c r="F146" t="inlineStr">
        <is>
          <t>KRONOBERGS LÄN</t>
        </is>
      </c>
      <c r="G146" t="inlineStr">
        <is>
          <t>ALVESTA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46302</v>
      </c>
      <c r="F147" t="inlineStr">
        <is>
          <t>KRONOBERGS LÄN</t>
        </is>
      </c>
      <c r="G147" t="inlineStr">
        <is>
          <t>ALVESTA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46302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44972</v>
      </c>
      <c r="E149" s="1" t="n">
        <v>46302</v>
      </c>
      <c r="F149" t="inlineStr">
        <is>
          <t>KRONOBERGS LÄN</t>
        </is>
      </c>
      <c r="G149" t="inlineStr">
        <is>
          <t>ALVESTA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46302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62704-2021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44504</v>
      </c>
      <c r="E151" s="1" t="n">
        <v>46302</v>
      </c>
      <c r="F151" t="inlineStr">
        <is>
          <t>KRONOBERGS LÄN</t>
        </is>
      </c>
      <c r="G151" t="inlineStr">
        <is>
          <t>ALVESTA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44818-2024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45574</v>
      </c>
      <c r="E152" s="1" t="n">
        <v>46302</v>
      </c>
      <c r="F152" t="inlineStr">
        <is>
          <t>KRONOBERGS LÄN</t>
        </is>
      </c>
      <c r="G152" t="inlineStr">
        <is>
          <t>ALVESTA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46302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46302</v>
      </c>
      <c r="F154" t="inlineStr">
        <is>
          <t>KRONOBERGS LÄN</t>
        </is>
      </c>
      <c r="G154" t="inlineStr">
        <is>
          <t>ALVESTA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25220-2025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45798</v>
      </c>
      <c r="E155" s="1" t="n">
        <v>46302</v>
      </c>
      <c r="F155" t="inlineStr">
        <is>
          <t>KRONOBERGS LÄN</t>
        </is>
      </c>
      <c r="G155" t="inlineStr">
        <is>
          <t>ALVESTA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6489-2022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44601</v>
      </c>
      <c r="E156" s="1" t="n">
        <v>46302</v>
      </c>
      <c r="F156" t="inlineStr">
        <is>
          <t>KRONOBERGS LÄN</t>
        </is>
      </c>
      <c r="G156" t="inlineStr">
        <is>
          <t>ALVESTA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46302</v>
      </c>
      <c r="F157" t="inlineStr">
        <is>
          <t>KRONOBERGS LÄN</t>
        </is>
      </c>
      <c r="G157" t="inlineStr">
        <is>
          <t>ALVESTA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46302</v>
      </c>
      <c r="F158" t="inlineStr">
        <is>
          <t>KRONOBERGS LÄN</t>
        </is>
      </c>
      <c r="G158" t="inlineStr">
        <is>
          <t>ALVESTA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45782</v>
      </c>
      <c r="E159" s="1" t="n">
        <v>46302</v>
      </c>
      <c r="F159" t="inlineStr">
        <is>
          <t>KRONOBERGS LÄN</t>
        </is>
      </c>
      <c r="G159" t="inlineStr">
        <is>
          <t>ALVESTA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46302</v>
      </c>
      <c r="F160" t="inlineStr">
        <is>
          <t>KRONOBERGS LÄN</t>
        </is>
      </c>
      <c r="G160" t="inlineStr">
        <is>
          <t>ALVESTA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46302</v>
      </c>
      <c r="F161" t="inlineStr">
        <is>
          <t>KRONOBERGS LÄN</t>
        </is>
      </c>
      <c r="G161" t="inlineStr">
        <is>
          <t>ALVESTA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44957</v>
      </c>
      <c r="E162" s="1" t="n">
        <v>46302</v>
      </c>
      <c r="F162" t="inlineStr">
        <is>
          <t>KRONOBERGS LÄN</t>
        </is>
      </c>
      <c r="G162" t="inlineStr">
        <is>
          <t>ALVESTA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46302</v>
      </c>
      <c r="F163" t="inlineStr">
        <is>
          <t>KRONOBERGS LÄN</t>
        </is>
      </c>
      <c r="G163" t="inlineStr">
        <is>
          <t>ALVESTA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46302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46302</v>
      </c>
      <c r="F165" t="inlineStr">
        <is>
          <t>KRONOBERGS LÄN</t>
        </is>
      </c>
      <c r="G165" t="inlineStr">
        <is>
          <t>ALVESTA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46302</v>
      </c>
      <c r="F166" t="inlineStr">
        <is>
          <t>KRONOBERGS LÄN</t>
        </is>
      </c>
      <c r="G166" t="inlineStr">
        <is>
          <t>ALVESTA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46302</v>
      </c>
      <c r="F167" t="inlineStr">
        <is>
          <t>KRONOBERGS LÄN</t>
        </is>
      </c>
      <c r="G167" t="inlineStr">
        <is>
          <t>ALVESTA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45040</v>
      </c>
      <c r="E168" s="1" t="n">
        <v>46302</v>
      </c>
      <c r="F168" t="inlineStr">
        <is>
          <t>KRONOBERGS LÄN</t>
        </is>
      </c>
      <c r="G168" t="inlineStr">
        <is>
          <t>ALVESTA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46302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46302</v>
      </c>
      <c r="F170" t="inlineStr">
        <is>
          <t>KRONOBERGS LÄN</t>
        </is>
      </c>
      <c r="G170" t="inlineStr">
        <is>
          <t>ALVESTA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46302</v>
      </c>
      <c r="F171" t="inlineStr">
        <is>
          <t>KRONOBERGS LÄN</t>
        </is>
      </c>
      <c r="G171" t="inlineStr">
        <is>
          <t>ALVESTA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46302</v>
      </c>
      <c r="F172" t="inlineStr">
        <is>
          <t>KRONOBERGS LÄN</t>
        </is>
      </c>
      <c r="G172" t="inlineStr">
        <is>
          <t>ALVESTA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46302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46302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46302</v>
      </c>
      <c r="F175" t="inlineStr">
        <is>
          <t>KRONOBERGS LÄN</t>
        </is>
      </c>
      <c r="G175" t="inlineStr">
        <is>
          <t>ALVESTA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46302</v>
      </c>
      <c r="F176" t="inlineStr">
        <is>
          <t>KRONOBERGS LÄN</t>
        </is>
      </c>
      <c r="G176" t="inlineStr">
        <is>
          <t>ALVESTA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46302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46302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57118-2023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45245</v>
      </c>
      <c r="E179" s="1" t="n">
        <v>46302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46302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46302</v>
      </c>
      <c r="F181" t="inlineStr">
        <is>
          <t>KRONOBERGS LÄN</t>
        </is>
      </c>
      <c r="G181" t="inlineStr">
        <is>
          <t>ALVESTA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46302</v>
      </c>
      <c r="F182" t="inlineStr">
        <is>
          <t>KRONOBERGS LÄN</t>
        </is>
      </c>
      <c r="G182" t="inlineStr">
        <is>
          <t>ALVESTA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46302</v>
      </c>
      <c r="F183" t="inlineStr">
        <is>
          <t>KRONOBERGS LÄN</t>
        </is>
      </c>
      <c r="G183" t="inlineStr">
        <is>
          <t>ALVESTA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46302</v>
      </c>
      <c r="F184" t="inlineStr">
        <is>
          <t>KRONOBERGS LÄN</t>
        </is>
      </c>
      <c r="G184" t="inlineStr">
        <is>
          <t>ALVESTA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46302</v>
      </c>
      <c r="F185" t="inlineStr">
        <is>
          <t>KRONOBERGS LÄN</t>
        </is>
      </c>
      <c r="G185" t="inlineStr">
        <is>
          <t>ALVESTA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46302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46302</v>
      </c>
      <c r="F187" t="inlineStr">
        <is>
          <t>KRONOBERGS LÄN</t>
        </is>
      </c>
      <c r="G187" t="inlineStr">
        <is>
          <t>ALVESTA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46302</v>
      </c>
      <c r="F188" t="inlineStr">
        <is>
          <t>KRONOBERGS LÄN</t>
        </is>
      </c>
      <c r="G188" t="inlineStr">
        <is>
          <t>ALVESTA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46302</v>
      </c>
      <c r="F189" t="inlineStr">
        <is>
          <t>KRONOBERGS LÄN</t>
        </is>
      </c>
      <c r="G189" t="inlineStr">
        <is>
          <t>ALVESTA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25261-2024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45462</v>
      </c>
      <c r="E190" s="1" t="n">
        <v>46302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46302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46302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46302</v>
      </c>
      <c r="F193" t="inlineStr">
        <is>
          <t>KRONOBERGS LÄN</t>
        </is>
      </c>
      <c r="G193" t="inlineStr">
        <is>
          <t>ALVESTA</t>
        </is>
      </c>
      <c r="I193" t="n">
        <v>9.6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46302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46302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46302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46302</v>
      </c>
      <c r="F197" t="inlineStr">
        <is>
          <t>KRONOBERGS LÄN</t>
        </is>
      </c>
      <c r="G197" t="inlineStr">
        <is>
          <t>ALVESTA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46302</v>
      </c>
      <c r="F198" t="inlineStr">
        <is>
          <t>KRONOBERGS LÄN</t>
        </is>
      </c>
      <c r="G198" t="inlineStr">
        <is>
          <t>ALVESTA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45673</v>
      </c>
      <c r="E199" s="1" t="n">
        <v>46302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44948</v>
      </c>
      <c r="E200" s="1" t="n">
        <v>46302</v>
      </c>
      <c r="F200" t="inlineStr">
        <is>
          <t>KRONOBERGS LÄN</t>
        </is>
      </c>
      <c r="G200" t="inlineStr">
        <is>
          <t>ALVESTA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46302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46302</v>
      </c>
      <c r="F202" t="inlineStr">
        <is>
          <t>KRONOBERGS LÄN</t>
        </is>
      </c>
      <c r="G202" t="inlineStr">
        <is>
          <t>ALVESTA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46302</v>
      </c>
      <c r="F203" t="inlineStr">
        <is>
          <t>KRONOBERGS LÄN</t>
        </is>
      </c>
      <c r="G203" t="inlineStr">
        <is>
          <t>ALVESTA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46302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46302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46302</v>
      </c>
      <c r="F206" t="inlineStr">
        <is>
          <t>KRONOBERGS LÄN</t>
        </is>
      </c>
      <c r="G206" t="inlineStr">
        <is>
          <t>ALVESTA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46302</v>
      </c>
      <c r="F207" t="inlineStr">
        <is>
          <t>KRONOBERGS LÄN</t>
        </is>
      </c>
      <c r="G207" t="inlineStr">
        <is>
          <t>ALVESTA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46302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46302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44528-2025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45916</v>
      </c>
      <c r="E210" s="1" t="n">
        <v>46302</v>
      </c>
      <c r="F210" t="inlineStr">
        <is>
          <t>KRONOBERGS LÄN</t>
        </is>
      </c>
      <c r="G210" t="inlineStr">
        <is>
          <t>ALVESTA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46302</v>
      </c>
      <c r="F211" t="inlineStr">
        <is>
          <t>KRONOBERGS LÄN</t>
        </is>
      </c>
      <c r="G211" t="inlineStr">
        <is>
          <t>ALVESTA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45821</v>
      </c>
      <c r="E212" s="1" t="n">
        <v>46302</v>
      </c>
      <c r="F212" t="inlineStr">
        <is>
          <t>KRONOBERGS LÄN</t>
        </is>
      </c>
      <c r="G212" t="inlineStr">
        <is>
          <t>ALVESTA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46302</v>
      </c>
      <c r="F213" t="inlineStr">
        <is>
          <t>KRONOBERGS LÄN</t>
        </is>
      </c>
      <c r="G213" t="inlineStr">
        <is>
          <t>ALVESTA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46302</v>
      </c>
      <c r="F214" t="inlineStr">
        <is>
          <t>KRONOBERGS LÄN</t>
        </is>
      </c>
      <c r="G214" t="inlineStr">
        <is>
          <t>ALVESTA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46302</v>
      </c>
      <c r="F215" t="inlineStr">
        <is>
          <t>KRONOBERGS LÄN</t>
        </is>
      </c>
      <c r="G215" t="inlineStr">
        <is>
          <t>ALVESTA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45005</v>
      </c>
      <c r="E216" s="1" t="n">
        <v>46302</v>
      </c>
      <c r="F216" t="inlineStr">
        <is>
          <t>KRONOBERGS LÄN</t>
        </is>
      </c>
      <c r="G216" t="inlineStr">
        <is>
          <t>ALVESTA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46302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45860</v>
      </c>
      <c r="E218" s="1" t="n">
        <v>46302</v>
      </c>
      <c r="F218" t="inlineStr">
        <is>
          <t>KRONOBERGS LÄN</t>
        </is>
      </c>
      <c r="G218" t="inlineStr">
        <is>
          <t>ALVESTA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11331-2026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46081</v>
      </c>
      <c r="E219" s="1" t="n">
        <v>46302</v>
      </c>
      <c r="F219" t="inlineStr">
        <is>
          <t>KRONOBERGS LÄN</t>
        </is>
      </c>
      <c r="G219" t="inlineStr">
        <is>
          <t>ALVESTA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46302</v>
      </c>
      <c r="F220" t="inlineStr">
        <is>
          <t>KRONOBERGS LÄN</t>
        </is>
      </c>
      <c r="G220" t="inlineStr">
        <is>
          <t>ALVESTA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46302</v>
      </c>
      <c r="F221" t="inlineStr">
        <is>
          <t>KRONOBERGS LÄN</t>
        </is>
      </c>
      <c r="G221" t="inlineStr">
        <is>
          <t>ALVESTA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46302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46302</v>
      </c>
      <c r="F223" t="inlineStr">
        <is>
          <t>KRONOBERGS LÄN</t>
        </is>
      </c>
      <c r="G223" t="inlineStr">
        <is>
          <t>ALVESTA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46302</v>
      </c>
      <c r="F224" t="inlineStr">
        <is>
          <t>KRONOBERGS LÄN</t>
        </is>
      </c>
      <c r="G224" t="inlineStr">
        <is>
          <t>ALVESTA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46302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46302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46302</v>
      </c>
      <c r="F227" t="inlineStr">
        <is>
          <t>KRONOBERGS LÄN</t>
        </is>
      </c>
      <c r="G227" t="inlineStr">
        <is>
          <t>ALVESTA</t>
        </is>
      </c>
      <c r="H227" t="inlineStr">
        <is>
          <t>Kommuner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44743</v>
      </c>
      <c r="E228" s="1" t="n">
        <v>46302</v>
      </c>
      <c r="F228" t="inlineStr">
        <is>
          <t>KRONOBERGS LÄN</t>
        </is>
      </c>
      <c r="G228" t="inlineStr">
        <is>
          <t>ALVESTA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44743</v>
      </c>
      <c r="E229" s="1" t="n">
        <v>46302</v>
      </c>
      <c r="F229" t="inlineStr">
        <is>
          <t>KRONOBERGS LÄN</t>
        </is>
      </c>
      <c r="G229" t="inlineStr">
        <is>
          <t>ALVESTA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46302</v>
      </c>
      <c r="F230" t="inlineStr">
        <is>
          <t>KRONOBERGS LÄN</t>
        </is>
      </c>
      <c r="G230" t="inlineStr">
        <is>
          <t>ALVESTA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46302</v>
      </c>
      <c r="F231" t="inlineStr">
        <is>
          <t>KRONOBERGS LÄN</t>
        </is>
      </c>
      <c r="G231" t="inlineStr">
        <is>
          <t>ALVESTA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40049-2022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46302</v>
      </c>
      <c r="F232" t="inlineStr">
        <is>
          <t>KRONOBERGS LÄN</t>
        </is>
      </c>
      <c r="G232" t="inlineStr">
        <is>
          <t>ALVESTA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46302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12258-2026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46087</v>
      </c>
      <c r="E234" s="1" t="n">
        <v>46302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46302</v>
      </c>
      <c r="F235" t="inlineStr">
        <is>
          <t>KRONOBERGS LÄN</t>
        </is>
      </c>
      <c r="G235" t="inlineStr">
        <is>
          <t>ALVESTA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46302</v>
      </c>
      <c r="F236" t="inlineStr">
        <is>
          <t>KRONOBERGS LÄN</t>
        </is>
      </c>
      <c r="G236" t="inlineStr">
        <is>
          <t>ALVESTA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46302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46302</v>
      </c>
      <c r="F238" t="inlineStr">
        <is>
          <t>KRONOBERGS LÄN</t>
        </is>
      </c>
      <c r="G238" t="inlineStr">
        <is>
          <t>ALVESTA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46302</v>
      </c>
      <c r="F239" t="inlineStr">
        <is>
          <t>KRONOBERGS LÄN</t>
        </is>
      </c>
      <c r="G239" t="inlineStr">
        <is>
          <t>ALVESTA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46302</v>
      </c>
      <c r="F240" t="inlineStr">
        <is>
          <t>KRONOBERGS LÄN</t>
        </is>
      </c>
      <c r="G240" t="inlineStr">
        <is>
          <t>ALVESTA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46302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46302</v>
      </c>
      <c r="F242" t="inlineStr">
        <is>
          <t>KRONOBERGS LÄN</t>
        </is>
      </c>
      <c r="G242" t="inlineStr">
        <is>
          <t>ALVESTA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46302</v>
      </c>
      <c r="F243" t="inlineStr">
        <is>
          <t>KRONOBERGS LÄN</t>
        </is>
      </c>
      <c r="G243" t="inlineStr">
        <is>
          <t>ALVESTA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45173</v>
      </c>
      <c r="E244" s="1" t="n">
        <v>46302</v>
      </c>
      <c r="F244" t="inlineStr">
        <is>
          <t>KRONOBERGS LÄN</t>
        </is>
      </c>
      <c r="G244" t="inlineStr">
        <is>
          <t>ALVESTA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46302</v>
      </c>
      <c r="F245" t="inlineStr">
        <is>
          <t>KRONOBERGS LÄN</t>
        </is>
      </c>
      <c r="G245" t="inlineStr">
        <is>
          <t>ALVESTA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46302</v>
      </c>
      <c r="F246" t="inlineStr">
        <is>
          <t>KRONOBERGS LÄN</t>
        </is>
      </c>
      <c r="G246" t="inlineStr">
        <is>
          <t>ALVESTA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45055</v>
      </c>
      <c r="E247" s="1" t="n">
        <v>46302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46302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45890</v>
      </c>
      <c r="E249" s="1" t="n">
        <v>46302</v>
      </c>
      <c r="F249" t="inlineStr">
        <is>
          <t>KRONOBERGS LÄN</t>
        </is>
      </c>
      <c r="G249" t="inlineStr">
        <is>
          <t>ALVESTA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46302</v>
      </c>
      <c r="F250" t="inlineStr">
        <is>
          <t>KRONOBERGS LÄN</t>
        </is>
      </c>
      <c r="G250" t="inlineStr">
        <is>
          <t>ALVESTA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46302</v>
      </c>
      <c r="F251" t="inlineStr">
        <is>
          <t>KRONOBERGS LÄN</t>
        </is>
      </c>
      <c r="G251" t="inlineStr">
        <is>
          <t>ALVESTA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45128</v>
      </c>
      <c r="E252" s="1" t="n">
        <v>46302</v>
      </c>
      <c r="F252" t="inlineStr">
        <is>
          <t>KRONOBERGS LÄN</t>
        </is>
      </c>
      <c r="G252" t="inlineStr">
        <is>
          <t>ALVESTA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45447</v>
      </c>
      <c r="E253" s="1" t="n">
        <v>46302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6475-2022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44601</v>
      </c>
      <c r="E254" s="1" t="n">
        <v>46302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46302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46302</v>
      </c>
      <c r="F256" t="inlineStr">
        <is>
          <t>KRONOBERGS LÄN</t>
        </is>
      </c>
      <c r="G256" t="inlineStr">
        <is>
          <t>ALVESTA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67331-2021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44523</v>
      </c>
      <c r="E257" s="1" t="n">
        <v>46302</v>
      </c>
      <c r="F257" t="inlineStr">
        <is>
          <t>KRONOBERGS LÄN</t>
        </is>
      </c>
      <c r="G257" t="inlineStr">
        <is>
          <t>ALVESTA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46302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45678</v>
      </c>
      <c r="E259" s="1" t="n">
        <v>46302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46302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45336</v>
      </c>
      <c r="E261" s="1" t="n">
        <v>46302</v>
      </c>
      <c r="F261" t="inlineStr">
        <is>
          <t>KRONOBERGS LÄN</t>
        </is>
      </c>
      <c r="G261" t="inlineStr">
        <is>
          <t>ALVESTA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46302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45517</v>
      </c>
      <c r="E263" s="1" t="n">
        <v>46302</v>
      </c>
      <c r="F263" t="inlineStr">
        <is>
          <t>KRONOBERGS LÄN</t>
        </is>
      </c>
      <c r="G263" t="inlineStr">
        <is>
          <t>ALVESTA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46302</v>
      </c>
      <c r="F264" t="inlineStr">
        <is>
          <t>KRONOBERGS LÄN</t>
        </is>
      </c>
      <c r="G264" t="inlineStr">
        <is>
          <t>ALVESTA</t>
        </is>
      </c>
      <c r="H264" t="inlineStr">
        <is>
          <t>Övriga Aktiebolag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46302</v>
      </c>
      <c r="F265" t="inlineStr">
        <is>
          <t>KRONOBERGS LÄN</t>
        </is>
      </c>
      <c r="G265" t="inlineStr">
        <is>
          <t>ALVESTA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46302</v>
      </c>
      <c r="F266" t="inlineStr">
        <is>
          <t>KRONOBERGS LÄN</t>
        </is>
      </c>
      <c r="G266" t="inlineStr">
        <is>
          <t>ALVESTA</t>
        </is>
      </c>
      <c r="H266" t="inlineStr">
        <is>
          <t>Övriga Aktiebolag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60478-2023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45259</v>
      </c>
      <c r="E267" s="1" t="n">
        <v>46302</v>
      </c>
      <c r="F267" t="inlineStr">
        <is>
          <t>KRONOBERGS LÄN</t>
        </is>
      </c>
      <c r="G267" t="inlineStr">
        <is>
          <t>ALVESTA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43959-2022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44838</v>
      </c>
      <c r="E268" s="1" t="n">
        <v>46302</v>
      </c>
      <c r="F268" t="inlineStr">
        <is>
          <t>KRONOBERGS LÄN</t>
        </is>
      </c>
      <c r="G268" t="inlineStr">
        <is>
          <t>ALVESTA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46302</v>
      </c>
      <c r="F269" t="inlineStr">
        <is>
          <t>KRONOBERGS LÄN</t>
        </is>
      </c>
      <c r="G269" t="inlineStr">
        <is>
          <t>ALVESTA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45852</v>
      </c>
      <c r="E270" s="1" t="n">
        <v>46302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46302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45628</v>
      </c>
      <c r="E272" s="1" t="n">
        <v>46302</v>
      </c>
      <c r="F272" t="inlineStr">
        <is>
          <t>KRONOBERGS LÄN</t>
        </is>
      </c>
      <c r="G272" t="inlineStr">
        <is>
          <t>ALVESTA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38909-2024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46302</v>
      </c>
      <c r="F273" t="inlineStr">
        <is>
          <t>KRONOBERGS LÄN</t>
        </is>
      </c>
      <c r="G273" t="inlineStr">
        <is>
          <t>ALVESTA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45593</v>
      </c>
      <c r="E274" s="1" t="n">
        <v>46302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60202-2021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44495</v>
      </c>
      <c r="E275" s="1" t="n">
        <v>46302</v>
      </c>
      <c r="F275" t="inlineStr">
        <is>
          <t>KRONOBERGS LÄN</t>
        </is>
      </c>
      <c r="G275" t="inlineStr">
        <is>
          <t>ALVESTA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46302</v>
      </c>
      <c r="F276" t="inlineStr">
        <is>
          <t>KRONOBERGS LÄN</t>
        </is>
      </c>
      <c r="G276" t="inlineStr">
        <is>
          <t>ALVESTA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46302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45868</v>
      </c>
      <c r="E278" s="1" t="n">
        <v>46302</v>
      </c>
      <c r="F278" t="inlineStr">
        <is>
          <t>KRONOBERGS LÄN</t>
        </is>
      </c>
      <c r="G278" t="inlineStr">
        <is>
          <t>ALVESTA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45467</v>
      </c>
      <c r="E279" s="1" t="n">
        <v>46302</v>
      </c>
      <c r="F279" t="inlineStr">
        <is>
          <t>KRONOBERGS LÄN</t>
        </is>
      </c>
      <c r="G279" t="inlineStr">
        <is>
          <t>ALVESTA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46302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46302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17823-2026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46122</v>
      </c>
      <c r="E282" s="1" t="n">
        <v>46302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46302</v>
      </c>
      <c r="F283" t="inlineStr">
        <is>
          <t>KRONOBERGS LÄN</t>
        </is>
      </c>
      <c r="G283" t="inlineStr">
        <is>
          <t>ALVESTA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46122</v>
      </c>
      <c r="E284" s="1" t="n">
        <v>46302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17801-2026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46122</v>
      </c>
      <c r="E285" s="1" t="n">
        <v>46302</v>
      </c>
      <c r="F285" t="inlineStr">
        <is>
          <t>KRONOBERGS LÄN</t>
        </is>
      </c>
      <c r="G285" t="inlineStr">
        <is>
          <t>ALVESTA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45359</v>
      </c>
      <c r="E286" s="1" t="n">
        <v>46302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46302</v>
      </c>
      <c r="F287" t="inlineStr">
        <is>
          <t>KRONOBERGS LÄN</t>
        </is>
      </c>
      <c r="G287" t="inlineStr">
        <is>
          <t>ALVESTA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46302</v>
      </c>
      <c r="F288" t="inlineStr">
        <is>
          <t>KRONOBERGS LÄN</t>
        </is>
      </c>
      <c r="G288" t="inlineStr">
        <is>
          <t>ALVESTA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45875</v>
      </c>
      <c r="E289" s="1" t="n">
        <v>46302</v>
      </c>
      <c r="F289" t="inlineStr">
        <is>
          <t>KRONOBERGS LÄN</t>
        </is>
      </c>
      <c r="G289" t="inlineStr">
        <is>
          <t>ALVESTA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46129</v>
      </c>
      <c r="E290" s="1" t="n">
        <v>46302</v>
      </c>
      <c r="F290" t="inlineStr">
        <is>
          <t>KRONOBERGS LÄN</t>
        </is>
      </c>
      <c r="G290" t="inlineStr">
        <is>
          <t>ALVESTA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25179-2024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45462</v>
      </c>
      <c r="E291" s="1" t="n">
        <v>46302</v>
      </c>
      <c r="F291" t="inlineStr">
        <is>
          <t>KRONOBERGS LÄN</t>
        </is>
      </c>
      <c r="G291" t="inlineStr">
        <is>
          <t>ALVESTA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46302</v>
      </c>
      <c r="F292" t="inlineStr">
        <is>
          <t>KRONOBERGS LÄN</t>
        </is>
      </c>
      <c r="G292" t="inlineStr">
        <is>
          <t>ALVESTA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45095</v>
      </c>
      <c r="E293" s="1" t="n">
        <v>46302</v>
      </c>
      <c r="F293" t="inlineStr">
        <is>
          <t>KRONOBERGS LÄN</t>
        </is>
      </c>
      <c r="G293" t="inlineStr">
        <is>
          <t>ALVESTA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46302</v>
      </c>
      <c r="F294" t="inlineStr">
        <is>
          <t>KRONOBERGS LÄN</t>
        </is>
      </c>
      <c r="G294" t="inlineStr">
        <is>
          <t>ALVESTA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46129</v>
      </c>
      <c r="E295" s="1" t="n">
        <v>46302</v>
      </c>
      <c r="F295" t="inlineStr">
        <is>
          <t>KRONOBERGS LÄN</t>
        </is>
      </c>
      <c r="G295" t="inlineStr">
        <is>
          <t>ALVESTA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46302</v>
      </c>
      <c r="F296" t="inlineStr">
        <is>
          <t>KRONOBERGS LÄN</t>
        </is>
      </c>
      <c r="G296" t="inlineStr">
        <is>
          <t>ALVESTA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46302</v>
      </c>
      <c r="F297" t="inlineStr">
        <is>
          <t>KRONOBERGS LÄN</t>
        </is>
      </c>
      <c r="G297" t="inlineStr">
        <is>
          <t>ALVESTA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46302</v>
      </c>
      <c r="F298" t="inlineStr">
        <is>
          <t>KRONOBERGS LÄN</t>
        </is>
      </c>
      <c r="G298" t="inlineStr">
        <is>
          <t>ALVESTA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45563</v>
      </c>
      <c r="E299" s="1" t="n">
        <v>46302</v>
      </c>
      <c r="F299" t="inlineStr">
        <is>
          <t>KRONOBERGS LÄN</t>
        </is>
      </c>
      <c r="G299" t="inlineStr">
        <is>
          <t>ALVESTA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46302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46302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46302</v>
      </c>
      <c r="F302" t="inlineStr">
        <is>
          <t>KRONOBERGS LÄN</t>
        </is>
      </c>
      <c r="G302" t="inlineStr">
        <is>
          <t>ALVESTA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45744</v>
      </c>
      <c r="E303" s="1" t="n">
        <v>46302</v>
      </c>
      <c r="F303" t="inlineStr">
        <is>
          <t>KRONOBERGS LÄN</t>
        </is>
      </c>
      <c r="G303" t="inlineStr">
        <is>
          <t>ALVESTA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46302</v>
      </c>
      <c r="F304" t="inlineStr">
        <is>
          <t>KRONOBERGS LÄN</t>
        </is>
      </c>
      <c r="G304" t="inlineStr">
        <is>
          <t>ALVESTA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45300</v>
      </c>
      <c r="E305" s="1" t="n">
        <v>46302</v>
      </c>
      <c r="F305" t="inlineStr">
        <is>
          <t>KRONOBERGS LÄN</t>
        </is>
      </c>
      <c r="G305" t="inlineStr">
        <is>
          <t>ALVESTA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46302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50733-2023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45217</v>
      </c>
      <c r="E307" s="1" t="n">
        <v>46302</v>
      </c>
      <c r="F307" t="inlineStr">
        <is>
          <t>KRONOBERGS LÄN</t>
        </is>
      </c>
      <c r="G307" t="inlineStr">
        <is>
          <t>ALVESTA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46302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45838</v>
      </c>
      <c r="E309" s="1" t="n">
        <v>46302</v>
      </c>
      <c r="F309" t="inlineStr">
        <is>
          <t>KRONOBERGS LÄN</t>
        </is>
      </c>
      <c r="G309" t="inlineStr">
        <is>
          <t>ALVESTA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46302</v>
      </c>
      <c r="F310" t="inlineStr">
        <is>
          <t>KRONOBERGS LÄN</t>
        </is>
      </c>
      <c r="G310" t="inlineStr">
        <is>
          <t>ALVESTA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56552-2021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44480</v>
      </c>
      <c r="E311" s="1" t="n">
        <v>46302</v>
      </c>
      <c r="F311" t="inlineStr">
        <is>
          <t>KRONOBERGS LÄN</t>
        </is>
      </c>
      <c r="G311" t="inlineStr">
        <is>
          <t>ALVESTA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46302</v>
      </c>
      <c r="F312" t="inlineStr">
        <is>
          <t>KRONOBERGS LÄN</t>
        </is>
      </c>
      <c r="G312" t="inlineStr">
        <is>
          <t>ALVESTA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46302</v>
      </c>
      <c r="F313" t="inlineStr">
        <is>
          <t>KRONOBERGS LÄN</t>
        </is>
      </c>
      <c r="G313" t="inlineStr">
        <is>
          <t>ALVESTA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46302</v>
      </c>
      <c r="F314" t="inlineStr">
        <is>
          <t>KRONOBERGS LÄN</t>
        </is>
      </c>
      <c r="G314" t="inlineStr">
        <is>
          <t>ALVESTA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46302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46302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46302</v>
      </c>
      <c r="F317" t="inlineStr">
        <is>
          <t>KRONOBERGS LÄN</t>
        </is>
      </c>
      <c r="G317" t="inlineStr">
        <is>
          <t>ALVESTA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45471</v>
      </c>
      <c r="E318" s="1" t="n">
        <v>46302</v>
      </c>
      <c r="F318" t="inlineStr">
        <is>
          <t>KRONOBERGS LÄN</t>
        </is>
      </c>
      <c r="G318" t="inlineStr">
        <is>
          <t>ALVESTA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44951</v>
      </c>
      <c r="E319" s="1" t="n">
        <v>46302</v>
      </c>
      <c r="F319" t="inlineStr">
        <is>
          <t>KRONOBERGS LÄN</t>
        </is>
      </c>
      <c r="G319" t="inlineStr">
        <is>
          <t>ALVESTA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46302</v>
      </c>
      <c r="F320" t="inlineStr">
        <is>
          <t>KRONOBERGS LÄN</t>
        </is>
      </c>
      <c r="G320" t="inlineStr">
        <is>
          <t>ALVESTA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45874</v>
      </c>
      <c r="E321" s="1" t="n">
        <v>46302</v>
      </c>
      <c r="F321" t="inlineStr">
        <is>
          <t>KRONOBERGS LÄN</t>
        </is>
      </c>
      <c r="G321" t="inlineStr">
        <is>
          <t>ALVESTA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46302</v>
      </c>
      <c r="F322" t="inlineStr">
        <is>
          <t>KRONOBERGS LÄN</t>
        </is>
      </c>
      <c r="G322" t="inlineStr">
        <is>
          <t>ALVESTA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46302</v>
      </c>
      <c r="F323" t="inlineStr">
        <is>
          <t>KRONOBERGS LÄN</t>
        </is>
      </c>
      <c r="G323" t="inlineStr">
        <is>
          <t>ALVESTA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46302</v>
      </c>
      <c r="F324" t="inlineStr">
        <is>
          <t>KRONOBERGS LÄN</t>
        </is>
      </c>
      <c r="G324" t="inlineStr">
        <is>
          <t>ALVESTA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46302</v>
      </c>
      <c r="F325" t="inlineStr">
        <is>
          <t>KRONOBERGS LÄN</t>
        </is>
      </c>
      <c r="G325" t="inlineStr">
        <is>
          <t>ALVESTA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44670</v>
      </c>
      <c r="E326" s="1" t="n">
        <v>46302</v>
      </c>
      <c r="F326" t="inlineStr">
        <is>
          <t>KRONOBERGS LÄN</t>
        </is>
      </c>
      <c r="G326" t="inlineStr">
        <is>
          <t>ALVESTA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46302</v>
      </c>
      <c r="F327" t="inlineStr">
        <is>
          <t>KRONOBERGS LÄN</t>
        </is>
      </c>
      <c r="G327" t="inlineStr">
        <is>
          <t>ALVESTA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46302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46302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45946</v>
      </c>
      <c r="E330" s="1" t="n">
        <v>46302</v>
      </c>
      <c r="F330" t="inlineStr">
        <is>
          <t>KRONOBERGS LÄN</t>
        </is>
      </c>
      <c r="G330" t="inlineStr">
        <is>
          <t>ALVESTA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46302</v>
      </c>
      <c r="F331" t="inlineStr">
        <is>
          <t>KRONOBERGS LÄN</t>
        </is>
      </c>
      <c r="G331" t="inlineStr">
        <is>
          <t>ALVESTA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46302</v>
      </c>
      <c r="F332" t="inlineStr">
        <is>
          <t>KRONOBERGS LÄN</t>
        </is>
      </c>
      <c r="G332" t="inlineStr">
        <is>
          <t>ALVESTA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46302</v>
      </c>
      <c r="F333" t="inlineStr">
        <is>
          <t>KRONOBERGS LÄN</t>
        </is>
      </c>
      <c r="G333" t="inlineStr">
        <is>
          <t>ALVESTA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46302</v>
      </c>
      <c r="F334" t="inlineStr">
        <is>
          <t>KRONOBERGS LÄN</t>
        </is>
      </c>
      <c r="G334" t="inlineStr">
        <is>
          <t>ALVESTA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46302</v>
      </c>
      <c r="F335" t="inlineStr">
        <is>
          <t>KRONOBERGS LÄN</t>
        </is>
      </c>
      <c r="G335" t="inlineStr">
        <is>
          <t>ALVESTA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46302</v>
      </c>
      <c r="F336" t="inlineStr">
        <is>
          <t>KRONOBERGS LÄN</t>
        </is>
      </c>
      <c r="G336" t="inlineStr">
        <is>
          <t>ALVESTA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46302</v>
      </c>
      <c r="F337" t="inlineStr">
        <is>
          <t>KRONOBERGS LÄN</t>
        </is>
      </c>
      <c r="G337" t="inlineStr">
        <is>
          <t>ALVESTA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46302</v>
      </c>
      <c r="F338" t="inlineStr">
        <is>
          <t>KRONOBERGS LÄN</t>
        </is>
      </c>
      <c r="G338" t="inlineStr">
        <is>
          <t>ALVESTA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46302</v>
      </c>
      <c r="F339" t="inlineStr">
        <is>
          <t>KRONOBERGS LÄN</t>
        </is>
      </c>
      <c r="G339" t="inlineStr">
        <is>
          <t>ALVESTA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46302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45858</v>
      </c>
      <c r="E341" s="1" t="n">
        <v>46302</v>
      </c>
      <c r="F341" t="inlineStr">
        <is>
          <t>KRONOBERGS LÄN</t>
        </is>
      </c>
      <c r="G341" t="inlineStr">
        <is>
          <t>ALVESTA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46302</v>
      </c>
      <c r="F342" t="inlineStr">
        <is>
          <t>KRONOBERGS LÄN</t>
        </is>
      </c>
      <c r="G342" t="inlineStr">
        <is>
          <t>ALVESTA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60700-2025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45996</v>
      </c>
      <c r="E343" s="1" t="n">
        <v>46302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45635</v>
      </c>
      <c r="E344" s="1" t="n">
        <v>46302</v>
      </c>
      <c r="F344" t="inlineStr">
        <is>
          <t>KRONOBERGS LÄN</t>
        </is>
      </c>
      <c r="G344" t="inlineStr">
        <is>
          <t>ALVESTA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46302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46302</v>
      </c>
      <c r="F346" t="inlineStr">
        <is>
          <t>KRONOBERGS LÄN</t>
        </is>
      </c>
      <c r="G346" t="inlineStr">
        <is>
          <t>ALVESTA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45949</v>
      </c>
      <c r="E347" s="1" t="n">
        <v>46302</v>
      </c>
      <c r="F347" t="inlineStr">
        <is>
          <t>KRONOBERGS LÄN</t>
        </is>
      </c>
      <c r="G347" t="inlineStr">
        <is>
          <t>ALVESTA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46302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9822-2022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44620</v>
      </c>
      <c r="E349" s="1" t="n">
        <v>46302</v>
      </c>
      <c r="F349" t="inlineStr">
        <is>
          <t>KRONOBERGS LÄN</t>
        </is>
      </c>
      <c r="G349" t="inlineStr">
        <is>
          <t>ALVESTA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46302</v>
      </c>
      <c r="F350" t="inlineStr">
        <is>
          <t>KRONOBERGS LÄN</t>
        </is>
      </c>
      <c r="G350" t="inlineStr">
        <is>
          <t>ALVESTA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46302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45896</v>
      </c>
      <c r="E352" s="1" t="n">
        <v>46302</v>
      </c>
      <c r="F352" t="inlineStr">
        <is>
          <t>KRONOBERGS LÄN</t>
        </is>
      </c>
      <c r="G352" t="inlineStr">
        <is>
          <t>ALVESTA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45854</v>
      </c>
      <c r="E353" s="1" t="n">
        <v>46302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46302</v>
      </c>
      <c r="F354" t="inlineStr">
        <is>
          <t>KRONOBERGS LÄN</t>
        </is>
      </c>
      <c r="G354" t="inlineStr">
        <is>
          <t>ALVESTA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46302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46302</v>
      </c>
      <c r="F356" t="inlineStr">
        <is>
          <t>KRONOBERGS LÄN</t>
        </is>
      </c>
      <c r="G356" t="inlineStr">
        <is>
          <t>ALVESTA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46302</v>
      </c>
      <c r="F357" t="inlineStr">
        <is>
          <t>KRONOBERGS LÄN</t>
        </is>
      </c>
      <c r="G357" t="inlineStr">
        <is>
          <t>ALVESTA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46302</v>
      </c>
      <c r="F358" t="inlineStr">
        <is>
          <t>KRONOBERGS LÄN</t>
        </is>
      </c>
      <c r="G358" t="inlineStr">
        <is>
          <t>ALVESTA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24419-2026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46169</v>
      </c>
      <c r="E359" s="1" t="n">
        <v>46302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24420-2026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46169</v>
      </c>
      <c r="E360" s="1" t="n">
        <v>46302</v>
      </c>
      <c r="F360" t="inlineStr">
        <is>
          <t>KRONOBERGS LÄN</t>
        </is>
      </c>
      <c r="G360" t="inlineStr">
        <is>
          <t>ALVESTA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46302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46302</v>
      </c>
      <c r="F362" t="inlineStr">
        <is>
          <t>KRONOBERGS LÄN</t>
        </is>
      </c>
      <c r="G362" t="inlineStr">
        <is>
          <t>ALVESTA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46302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38899-2024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45547</v>
      </c>
      <c r="E364" s="1" t="n">
        <v>46302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46302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24692-2026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46171</v>
      </c>
      <c r="E366" s="1" t="n">
        <v>46302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46302</v>
      </c>
      <c r="F367" t="inlineStr">
        <is>
          <t>KRONOBERGS LÄN</t>
        </is>
      </c>
      <c r="G367" t="inlineStr">
        <is>
          <t>ALVESTA</t>
        </is>
      </c>
      <c r="H367" t="inlineStr">
        <is>
          <t>Kommuner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45538</v>
      </c>
      <c r="E368" s="1" t="n">
        <v>46302</v>
      </c>
      <c r="F368" t="inlineStr">
        <is>
          <t>KRONOBERGS LÄN</t>
        </is>
      </c>
      <c r="G368" t="inlineStr">
        <is>
          <t>ALVESTA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46177</v>
      </c>
      <c r="E369" s="1" t="n">
        <v>46302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45342</v>
      </c>
      <c r="E370" s="1" t="n">
        <v>46302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46302</v>
      </c>
      <c r="F371" t="inlineStr">
        <is>
          <t>KRONOBERGS LÄN</t>
        </is>
      </c>
      <c r="G371" t="inlineStr">
        <is>
          <t>ALVESTA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46302</v>
      </c>
      <c r="F372" t="inlineStr">
        <is>
          <t>KRONOBERGS LÄN</t>
        </is>
      </c>
      <c r="G372" t="inlineStr">
        <is>
          <t>ALVESTA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45407</v>
      </c>
      <c r="E373" s="1" t="n">
        <v>46302</v>
      </c>
      <c r="F373" t="inlineStr">
        <is>
          <t>KRONOBERGS LÄN</t>
        </is>
      </c>
      <c r="G373" t="inlineStr">
        <is>
          <t>ALVESTA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9395-2024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46302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46302</v>
      </c>
      <c r="F375" t="inlineStr">
        <is>
          <t>KRONOBERGS LÄN</t>
        </is>
      </c>
      <c r="G375" t="inlineStr">
        <is>
          <t>ALVESTA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46302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27077-2026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46186</v>
      </c>
      <c r="E377" s="1" t="n">
        <v>46302</v>
      </c>
      <c r="F377" t="inlineStr">
        <is>
          <t>KRONOBERGS LÄN</t>
        </is>
      </c>
      <c r="G377" t="inlineStr">
        <is>
          <t>ALVESTA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27032-2026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46185</v>
      </c>
      <c r="E378" s="1" t="n">
        <v>46302</v>
      </c>
      <c r="F378" t="inlineStr">
        <is>
          <t>KRONOBERGS LÄN</t>
        </is>
      </c>
      <c r="G378" t="inlineStr">
        <is>
          <t>ALVESTA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62235-2023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46302</v>
      </c>
      <c r="F379" t="inlineStr">
        <is>
          <t>KRONOBERGS LÄN</t>
        </is>
      </c>
      <c r="G379" t="inlineStr">
        <is>
          <t>ALVESTA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46302</v>
      </c>
      <c r="F380" t="inlineStr">
        <is>
          <t>KRONOBERGS LÄN</t>
        </is>
      </c>
      <c r="G380" t="inlineStr">
        <is>
          <t>ALVESTA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38875-2022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44816</v>
      </c>
      <c r="E381" s="1" t="n">
        <v>46302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45532</v>
      </c>
      <c r="E382" s="1" t="n">
        <v>46302</v>
      </c>
      <c r="F382" t="inlineStr">
        <is>
          <t>KRONOBERGS LÄN</t>
        </is>
      </c>
      <c r="G382" t="inlineStr">
        <is>
          <t>ALVESTA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46302</v>
      </c>
      <c r="F383" t="inlineStr">
        <is>
          <t>KRONOBERGS LÄN</t>
        </is>
      </c>
      <c r="G383" t="inlineStr">
        <is>
          <t>ALVESTA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45217</v>
      </c>
      <c r="E384" s="1" t="n">
        <v>46302</v>
      </c>
      <c r="F384" t="inlineStr">
        <is>
          <t>KRONOBERGS LÄN</t>
        </is>
      </c>
      <c r="G384" t="inlineStr">
        <is>
          <t>ALVESTA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45336</v>
      </c>
      <c r="E385" s="1" t="n">
        <v>46302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36862-2022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46302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46302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45349</v>
      </c>
      <c r="E388" s="1" t="n">
        <v>46302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46302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46302</v>
      </c>
      <c r="F390" t="inlineStr">
        <is>
          <t>KRONOBERGS LÄN</t>
        </is>
      </c>
      <c r="G390" t="inlineStr">
        <is>
          <t>ALVESTA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46302</v>
      </c>
      <c r="F391" t="inlineStr">
        <is>
          <t>KRONOBERGS LÄN</t>
        </is>
      </c>
      <c r="G391" t="inlineStr">
        <is>
          <t>ALVESTA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45512</v>
      </c>
      <c r="E392" s="1" t="n">
        <v>46302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46302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8803-2024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45356</v>
      </c>
      <c r="E394" s="1" t="n">
        <v>46302</v>
      </c>
      <c r="F394" t="inlineStr">
        <is>
          <t>KRONOBERGS LÄN</t>
        </is>
      </c>
      <c r="G394" t="inlineStr">
        <is>
          <t>ALVESTA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18836-2024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45426</v>
      </c>
      <c r="E395" s="1" t="n">
        <v>46302</v>
      </c>
      <c r="F395" t="inlineStr">
        <is>
          <t>KRONOBERGS LÄN</t>
        </is>
      </c>
      <c r="G395" t="inlineStr">
        <is>
          <t>ALVESTA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54667-2022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44881</v>
      </c>
      <c r="E396" s="1" t="n">
        <v>46302</v>
      </c>
      <c r="F396" t="inlineStr">
        <is>
          <t>KRONOBERGS LÄN</t>
        </is>
      </c>
      <c r="G396" t="inlineStr">
        <is>
          <t>ALVESTA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45359</v>
      </c>
      <c r="E397" s="1" t="n">
        <v>46302</v>
      </c>
      <c r="F397" t="inlineStr">
        <is>
          <t>KRONOBERGS LÄN</t>
        </is>
      </c>
      <c r="G397" t="inlineStr">
        <is>
          <t>ALVESTA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46302</v>
      </c>
      <c r="F398" t="inlineStr">
        <is>
          <t>KRONOBERGS LÄN</t>
        </is>
      </c>
      <c r="G398" t="inlineStr">
        <is>
          <t>ALVESTA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44973</v>
      </c>
      <c r="E399" s="1" t="n">
        <v>46302</v>
      </c>
      <c r="F399" t="inlineStr">
        <is>
          <t>KRONOBERGS LÄN</t>
        </is>
      </c>
      <c r="G399" t="inlineStr">
        <is>
          <t>ALVESTA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23126-2023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46302</v>
      </c>
      <c r="F400" t="inlineStr">
        <is>
          <t>KRONOBERGS LÄN</t>
        </is>
      </c>
      <c r="G400" t="inlineStr">
        <is>
          <t>ALVESTA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46302</v>
      </c>
      <c r="F401" t="inlineStr">
        <is>
          <t>KRONOBERGS LÄN</t>
        </is>
      </c>
      <c r="G401" t="inlineStr">
        <is>
          <t>ALVESTA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44978</v>
      </c>
      <c r="E402" s="1" t="n">
        <v>46302</v>
      </c>
      <c r="F402" t="inlineStr">
        <is>
          <t>KRONOBERGS LÄN</t>
        </is>
      </c>
      <c r="G402" t="inlineStr">
        <is>
          <t>ALVESTA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45418</v>
      </c>
      <c r="E403" s="1" t="n">
        <v>46302</v>
      </c>
      <c r="F403" t="inlineStr">
        <is>
          <t>KRONOBERGS LÄN</t>
        </is>
      </c>
      <c r="G403" t="inlineStr">
        <is>
          <t>ALVESTA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17791-2024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45418</v>
      </c>
      <c r="E404" s="1" t="n">
        <v>46302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45296</v>
      </c>
      <c r="E405" s="1" t="n">
        <v>46302</v>
      </c>
      <c r="F405" t="inlineStr">
        <is>
          <t>KRONOBERGS LÄN</t>
        </is>
      </c>
      <c r="G405" t="inlineStr">
        <is>
          <t>ALVESTA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46302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45436</v>
      </c>
      <c r="E407" s="1" t="n">
        <v>46302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46302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45418</v>
      </c>
      <c r="E409" s="1" t="n">
        <v>46302</v>
      </c>
      <c r="F409" t="inlineStr">
        <is>
          <t>KRONOBERGS LÄN</t>
        </is>
      </c>
      <c r="G409" t="inlineStr">
        <is>
          <t>ALVESTA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46302</v>
      </c>
      <c r="F410" t="inlineStr">
        <is>
          <t>KRONOBERGS LÄN</t>
        </is>
      </c>
      <c r="G410" t="inlineStr">
        <is>
          <t>ALVESTA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46302</v>
      </c>
      <c r="F411" t="inlineStr">
        <is>
          <t>KRONOBERGS LÄN</t>
        </is>
      </c>
      <c r="G411" t="inlineStr">
        <is>
          <t>ALVESTA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46302</v>
      </c>
      <c r="F412" t="inlineStr">
        <is>
          <t>KRONOBERGS LÄN</t>
        </is>
      </c>
      <c r="G412" t="inlineStr">
        <is>
          <t>ALVESTA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46302</v>
      </c>
      <c r="F413" t="inlineStr">
        <is>
          <t>KRONOBERGS LÄN</t>
        </is>
      </c>
      <c r="G413" t="inlineStr">
        <is>
          <t>ALVESTA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46302</v>
      </c>
      <c r="F414" t="inlineStr">
        <is>
          <t>KRONOBERGS LÄN</t>
        </is>
      </c>
      <c r="G414" t="inlineStr">
        <is>
          <t>ALVESTA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46302</v>
      </c>
      <c r="F415" t="inlineStr">
        <is>
          <t>KRONOBERGS LÄN</t>
        </is>
      </c>
      <c r="G415" t="inlineStr">
        <is>
          <t>ALVESTA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46302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45436</v>
      </c>
      <c r="E417" s="1" t="n">
        <v>46302</v>
      </c>
      <c r="F417" t="inlineStr">
        <is>
          <t>KRONOBERGS LÄN</t>
        </is>
      </c>
      <c r="G417" t="inlineStr">
        <is>
          <t>ALVESTA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46302</v>
      </c>
      <c r="F418" t="inlineStr">
        <is>
          <t>KRONOBERGS LÄN</t>
        </is>
      </c>
      <c r="G418" t="inlineStr">
        <is>
          <t>ALVESTA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65092-2023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46302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45198</v>
      </c>
      <c r="E420" s="1" t="n">
        <v>46302</v>
      </c>
      <c r="F420" t="inlineStr">
        <is>
          <t>KRONOBERGS LÄN</t>
        </is>
      </c>
      <c r="G420" t="inlineStr">
        <is>
          <t>ALVESTA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45359</v>
      </c>
      <c r="E421" s="1" t="n">
        <v>46302</v>
      </c>
      <c r="F421" t="inlineStr">
        <is>
          <t>KRONOBERGS LÄN</t>
        </is>
      </c>
      <c r="G421" t="inlineStr">
        <is>
          <t>ALVESTA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45608</v>
      </c>
      <c r="E422" s="1" t="n">
        <v>46302</v>
      </c>
      <c r="F422" t="inlineStr">
        <is>
          <t>KRONOBERGS LÄN</t>
        </is>
      </c>
      <c r="G422" t="inlineStr">
        <is>
          <t>ALVESTA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46302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46302</v>
      </c>
      <c r="F424" t="inlineStr">
        <is>
          <t>KRONOBERGS LÄN</t>
        </is>
      </c>
      <c r="G424" t="inlineStr">
        <is>
          <t>ALVESTA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45414</v>
      </c>
      <c r="E425" s="1" t="n">
        <v>46302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45478</v>
      </c>
      <c r="E426" s="1" t="n">
        <v>46302</v>
      </c>
      <c r="F426" t="inlineStr">
        <is>
          <t>KRONOBERGS LÄN</t>
        </is>
      </c>
      <c r="G426" t="inlineStr">
        <is>
          <t>ALVESTA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46302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46302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20631-2024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45436</v>
      </c>
      <c r="E429" s="1" t="n">
        <v>46302</v>
      </c>
      <c r="F429" t="inlineStr">
        <is>
          <t>KRONOBERGS LÄN</t>
        </is>
      </c>
      <c r="G429" t="inlineStr">
        <is>
          <t>ALVESTA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44635</v>
      </c>
      <c r="E430" s="1" t="n">
        <v>46302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45342</v>
      </c>
      <c r="E431" s="1" t="n">
        <v>46302</v>
      </c>
      <c r="F431" t="inlineStr">
        <is>
          <t>KRONOBERGS LÄN</t>
        </is>
      </c>
      <c r="G431" t="inlineStr">
        <is>
          <t>ALVESTA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45136</v>
      </c>
      <c r="E432" s="1" t="n">
        <v>46302</v>
      </c>
      <c r="F432" t="inlineStr">
        <is>
          <t>KRONOBERGS LÄN</t>
        </is>
      </c>
      <c r="G432" t="inlineStr">
        <is>
          <t>ALVESTA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46302</v>
      </c>
      <c r="F433" t="inlineStr">
        <is>
          <t>KRONOBERGS LÄN</t>
        </is>
      </c>
      <c r="G433" t="inlineStr">
        <is>
          <t>ALVESTA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45320</v>
      </c>
      <c r="E434" s="1" t="n">
        <v>46302</v>
      </c>
      <c r="F434" t="inlineStr">
        <is>
          <t>KRONOBERGS LÄN</t>
        </is>
      </c>
      <c r="G434" t="inlineStr">
        <is>
          <t>ALVESTA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14969-2022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44657</v>
      </c>
      <c r="E435" s="1" t="n">
        <v>46302</v>
      </c>
      <c r="F435" t="inlineStr">
        <is>
          <t>KRONOBERGS LÄN</t>
        </is>
      </c>
      <c r="G435" t="inlineStr">
        <is>
          <t>ALVESTA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60760-2022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44914</v>
      </c>
      <c r="E436" s="1" t="n">
        <v>46302</v>
      </c>
      <c r="F436" t="inlineStr">
        <is>
          <t>KRONOBERGS LÄN</t>
        </is>
      </c>
      <c r="G436" t="inlineStr">
        <is>
          <t>ALVESTA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45128</v>
      </c>
      <c r="E437" s="1" t="n">
        <v>46302</v>
      </c>
      <c r="F437" t="inlineStr">
        <is>
          <t>KRONOBERGS LÄN</t>
        </is>
      </c>
      <c r="G437" t="inlineStr">
        <is>
          <t>ALVESTA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46302</v>
      </c>
      <c r="F438" t="inlineStr">
        <is>
          <t>KRONOBERGS LÄN</t>
        </is>
      </c>
      <c r="G438" t="inlineStr">
        <is>
          <t>ALVESTA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45692</v>
      </c>
      <c r="E439" s="1" t="n">
        <v>46302</v>
      </c>
      <c r="F439" t="inlineStr">
        <is>
          <t>KRONOBERGS LÄN</t>
        </is>
      </c>
      <c r="G439" t="inlineStr">
        <is>
          <t>ALVESTA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46302</v>
      </c>
      <c r="F440" t="inlineStr">
        <is>
          <t>KRONOBERGS LÄN</t>
        </is>
      </c>
      <c r="G440" t="inlineStr">
        <is>
          <t>ALVESTA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58648-2024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45635</v>
      </c>
      <c r="E441" s="1" t="n">
        <v>46302</v>
      </c>
      <c r="F441" t="inlineStr">
        <is>
          <t>KRONOBERGS LÄN</t>
        </is>
      </c>
      <c r="G441" t="inlineStr">
        <is>
          <t>ALVESTA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46302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46302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46302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46302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45366</v>
      </c>
      <c r="E446" s="1" t="n">
        <v>46302</v>
      </c>
      <c r="F446" t="inlineStr">
        <is>
          <t>KRONOBERGS LÄN</t>
        </is>
      </c>
      <c r="G446" t="inlineStr">
        <is>
          <t>ALVESTA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45324</v>
      </c>
      <c r="E447" s="1" t="n">
        <v>46302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46302</v>
      </c>
      <c r="F448" t="inlineStr">
        <is>
          <t>KRONOBERGS LÄN</t>
        </is>
      </c>
      <c r="G448" t="inlineStr">
        <is>
          <t>ALVESTA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45771</v>
      </c>
      <c r="E449" s="1" t="n">
        <v>46302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45267</v>
      </c>
      <c r="E450" s="1" t="n">
        <v>46302</v>
      </c>
      <c r="F450" t="inlineStr">
        <is>
          <t>KRONOBERGS LÄN</t>
        </is>
      </c>
      <c r="G450" t="inlineStr">
        <is>
          <t>ALVESTA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52172-2022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46302</v>
      </c>
      <c r="F451" t="inlineStr">
        <is>
          <t>KRONOBERGS LÄN</t>
        </is>
      </c>
      <c r="G451" t="inlineStr">
        <is>
          <t>ALVESTA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45608</v>
      </c>
      <c r="E452" s="1" t="n">
        <v>46302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45135</v>
      </c>
      <c r="E453" s="1" t="n">
        <v>46302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46302</v>
      </c>
      <c r="F454" t="inlineStr">
        <is>
          <t>KRONOBERGS LÄN</t>
        </is>
      </c>
      <c r="G454" t="inlineStr">
        <is>
          <t>ALVESTA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54966-2023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46302</v>
      </c>
      <c r="F455" t="inlineStr">
        <is>
          <t>KRONOBERGS LÄN</t>
        </is>
      </c>
      <c r="G455" t="inlineStr">
        <is>
          <t>ALVESTA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46302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46302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36750-2022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44805</v>
      </c>
      <c r="E458" s="1" t="n">
        <v>46302</v>
      </c>
      <c r="F458" t="inlineStr">
        <is>
          <t>KRONOBERGS LÄN</t>
        </is>
      </c>
      <c r="G458" t="inlineStr">
        <is>
          <t>ALVESTA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46302</v>
      </c>
      <c r="F459" t="inlineStr">
        <is>
          <t>KRONOBERGS LÄN</t>
        </is>
      </c>
      <c r="G459" t="inlineStr">
        <is>
          <t>ALVESTA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46302</v>
      </c>
      <c r="F460" t="inlineStr">
        <is>
          <t>KRONOBERGS LÄN</t>
        </is>
      </c>
      <c r="G460" t="inlineStr">
        <is>
          <t>ALVESTA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46273</v>
      </c>
      <c r="E461" s="1" t="n">
        <v>46302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46302</v>
      </c>
      <c r="F462" t="inlineStr">
        <is>
          <t>KRONOBERGS LÄN</t>
        </is>
      </c>
      <c r="G462" t="inlineStr">
        <is>
          <t>ALVESTA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46273</v>
      </c>
      <c r="E463" s="1" t="n">
        <v>46302</v>
      </c>
      <c r="F463" t="inlineStr">
        <is>
          <t>KRONOBERGS LÄN</t>
        </is>
      </c>
      <c r="G463" t="inlineStr">
        <is>
          <t>ALVESTA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46302</v>
      </c>
      <c r="F464" t="inlineStr">
        <is>
          <t>KRONOBERGS LÄN</t>
        </is>
      </c>
      <c r="G464" t="inlineStr">
        <is>
          <t>ALVESTA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7706-2024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45349</v>
      </c>
      <c r="E465" s="1" t="n">
        <v>46302</v>
      </c>
      <c r="F465" t="inlineStr">
        <is>
          <t>KRONOBERGS LÄN</t>
        </is>
      </c>
      <c r="G465" t="inlineStr">
        <is>
          <t>ALVESTA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46302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46274</v>
      </c>
      <c r="E467" s="1" t="n">
        <v>46302</v>
      </c>
      <c r="F467" t="inlineStr">
        <is>
          <t>KRONOBERGS LÄN</t>
        </is>
      </c>
      <c r="G467" t="inlineStr">
        <is>
          <t>ALVESTA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46302</v>
      </c>
      <c r="F468" t="inlineStr">
        <is>
          <t>KRONOBERGS LÄN</t>
        </is>
      </c>
      <c r="G468" t="inlineStr">
        <is>
          <t>ALVESTA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46302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12818-2025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45733</v>
      </c>
      <c r="E470" s="1" t="n">
        <v>46302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46302</v>
      </c>
      <c r="F471" t="inlineStr">
        <is>
          <t>KRONOBERGS LÄN</t>
        </is>
      </c>
      <c r="G471" t="inlineStr">
        <is>
          <t>ALVESTA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46302</v>
      </c>
      <c r="F472" t="inlineStr">
        <is>
          <t>KRONOBERGS LÄN</t>
        </is>
      </c>
      <c r="G472" t="inlineStr">
        <is>
          <t>ALVESTA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20618-2024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45436</v>
      </c>
      <c r="E473" s="1" t="n">
        <v>46302</v>
      </c>
      <c r="F473" t="inlineStr">
        <is>
          <t>KRONOBERGS LÄN</t>
        </is>
      </c>
      <c r="G473" t="inlineStr">
        <is>
          <t>ALVESTA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42905-2023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45182</v>
      </c>
      <c r="E474" s="1" t="n">
        <v>46302</v>
      </c>
      <c r="F474" t="inlineStr">
        <is>
          <t>KRONOBERGS LÄN</t>
        </is>
      </c>
      <c r="G474" t="inlineStr">
        <is>
          <t>ALVESTA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45476</v>
      </c>
      <c r="E475" s="1" t="n">
        <v>46302</v>
      </c>
      <c r="F475" t="inlineStr">
        <is>
          <t>KRONOBERGS LÄN</t>
        </is>
      </c>
      <c r="G475" t="inlineStr">
        <is>
          <t>ALVESTA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39263-2023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45166</v>
      </c>
      <c r="E476" s="1" t="n">
        <v>46302</v>
      </c>
      <c r="F476" t="inlineStr">
        <is>
          <t>KRONOBERGS LÄN</t>
        </is>
      </c>
      <c r="G476" t="inlineStr">
        <is>
          <t>ALVESTA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46302</v>
      </c>
      <c r="F477" t="inlineStr">
        <is>
          <t>KRONOBERGS LÄN</t>
        </is>
      </c>
      <c r="G477" t="inlineStr">
        <is>
          <t>ALVESTA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46302</v>
      </c>
      <c r="F478" t="inlineStr">
        <is>
          <t>KRONOBERGS LÄN</t>
        </is>
      </c>
      <c r="G478" t="inlineStr">
        <is>
          <t>ALVESTA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46302</v>
      </c>
      <c r="F479" t="inlineStr">
        <is>
          <t>KRONOBERGS LÄN</t>
        </is>
      </c>
      <c r="G479" t="inlineStr">
        <is>
          <t>ALVESTA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46302</v>
      </c>
      <c r="F480" t="inlineStr">
        <is>
          <t>KRONOBERGS LÄN</t>
        </is>
      </c>
      <c r="G480" t="inlineStr">
        <is>
          <t>ALVESTA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45155</v>
      </c>
      <c r="E481" s="1" t="n">
        <v>46302</v>
      </c>
      <c r="F481" t="inlineStr">
        <is>
          <t>KRONOBERGS LÄN</t>
        </is>
      </c>
      <c r="G481" t="inlineStr">
        <is>
          <t>ALVESTA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46302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46286</v>
      </c>
      <c r="E483" s="1" t="n">
        <v>46302</v>
      </c>
      <c r="F483" t="inlineStr">
        <is>
          <t>KRONOBERGS LÄN</t>
        </is>
      </c>
      <c r="G483" t="inlineStr">
        <is>
          <t>ALVESTA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44935</v>
      </c>
      <c r="E484" s="1" t="n">
        <v>46302</v>
      </c>
      <c r="F484" t="inlineStr">
        <is>
          <t>KRONOBERGS LÄN</t>
        </is>
      </c>
      <c r="G484" t="inlineStr">
        <is>
          <t>ALVESTA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26621-2022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46302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46302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45155</v>
      </c>
      <c r="E487" s="1" t="n">
        <v>46302</v>
      </c>
      <c r="F487" t="inlineStr">
        <is>
          <t>KRONOBERGS LÄN</t>
        </is>
      </c>
      <c r="G487" t="inlineStr">
        <is>
          <t>ALVESTA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46302</v>
      </c>
      <c r="F488" t="inlineStr">
        <is>
          <t>KRONOBERGS LÄN</t>
        </is>
      </c>
      <c r="G488" t="inlineStr">
        <is>
          <t>ALVESTA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46244</v>
      </c>
      <c r="E489" s="1" t="n">
        <v>46302</v>
      </c>
      <c r="F489" t="inlineStr">
        <is>
          <t>KRONOBERGS LÄN</t>
        </is>
      </c>
      <c r="G489" t="inlineStr">
        <is>
          <t>ALVESTA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10198-2025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45719</v>
      </c>
      <c r="E490" s="1" t="n">
        <v>46302</v>
      </c>
      <c r="F490" t="inlineStr">
        <is>
          <t>KRONOBERGS LÄN</t>
        </is>
      </c>
      <c r="G490" t="inlineStr">
        <is>
          <t>ALVESTA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45524</v>
      </c>
      <c r="E491" s="1" t="n">
        <v>46302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46241</v>
      </c>
      <c r="E492" s="1" t="n">
        <v>46302</v>
      </c>
      <c r="F492" t="inlineStr">
        <is>
          <t>KRONOBERGS LÄN</t>
        </is>
      </c>
      <c r="G492" t="inlineStr">
        <is>
          <t>ALVESTA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46302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46302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46302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46302</v>
      </c>
      <c r="F496" t="inlineStr">
        <is>
          <t>KRONOBERGS LÄN</t>
        </is>
      </c>
      <c r="G496" t="inlineStr">
        <is>
          <t>ALVESTA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45005</v>
      </c>
      <c r="E497" s="1" t="n">
        <v>46302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32793-2026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46241</v>
      </c>
      <c r="E498" s="1" t="n">
        <v>46302</v>
      </c>
      <c r="F498" t="inlineStr">
        <is>
          <t>KRONOBERGS LÄN</t>
        </is>
      </c>
      <c r="G498" t="inlineStr">
        <is>
          <t>ALVESTA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46241</v>
      </c>
      <c r="E499" s="1" t="n">
        <v>46302</v>
      </c>
      <c r="F499" t="inlineStr">
        <is>
          <t>KRONOBERGS LÄN</t>
        </is>
      </c>
      <c r="G499" t="inlineStr">
        <is>
          <t>ALVESTA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46302</v>
      </c>
      <c r="F500" t="inlineStr">
        <is>
          <t>KRONOBERGS LÄN</t>
        </is>
      </c>
      <c r="G500" t="inlineStr">
        <is>
          <t>ALVESTA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50976-2023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46302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46302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51210-2022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44868</v>
      </c>
      <c r="E503" s="1" t="n">
        <v>46302</v>
      </c>
      <c r="F503" t="inlineStr">
        <is>
          <t>KRONOBERGS LÄN</t>
        </is>
      </c>
      <c r="G503" t="inlineStr">
        <is>
          <t>ALVESTA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46288</v>
      </c>
      <c r="E504" s="1" t="n">
        <v>46302</v>
      </c>
      <c r="F504" t="inlineStr">
        <is>
          <t>KRONOBERGS LÄN</t>
        </is>
      </c>
      <c r="G504" t="inlineStr">
        <is>
          <t>ALVESTA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6479-2022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46302</v>
      </c>
      <c r="F505" t="inlineStr">
        <is>
          <t>KRONOBERGS LÄN</t>
        </is>
      </c>
      <c r="G505" t="inlineStr">
        <is>
          <t>ALVESTA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46246</v>
      </c>
      <c r="E506" s="1" t="n">
        <v>46302</v>
      </c>
      <c r="F506" t="inlineStr">
        <is>
          <t>KRONOBERGS LÄN</t>
        </is>
      </c>
      <c r="G506" t="inlineStr">
        <is>
          <t>ALVESTA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18845-2024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45426</v>
      </c>
      <c r="E507" s="1" t="n">
        <v>46302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45068</v>
      </c>
      <c r="E508" s="1" t="n">
        <v>46302</v>
      </c>
      <c r="F508" t="inlineStr">
        <is>
          <t>KRONOBERGS LÄN</t>
        </is>
      </c>
      <c r="G508" t="inlineStr">
        <is>
          <t>ALVESTA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46302</v>
      </c>
      <c r="F509" t="inlineStr">
        <is>
          <t>KRONOBERGS LÄN</t>
        </is>
      </c>
      <c r="G509" t="inlineStr">
        <is>
          <t>ALVESTA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45247</v>
      </c>
      <c r="E510" s="1" t="n">
        <v>46302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46302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45614</v>
      </c>
      <c r="E512" s="1" t="n">
        <v>46302</v>
      </c>
      <c r="F512" t="inlineStr">
        <is>
          <t>KRONOBERGS LÄN</t>
        </is>
      </c>
      <c r="G512" t="inlineStr">
        <is>
          <t>ALVESTA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46302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39701-2026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46290</v>
      </c>
      <c r="E514" s="1" t="n">
        <v>46302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45305</v>
      </c>
      <c r="E515" s="1" t="n">
        <v>46302</v>
      </c>
      <c r="F515" t="inlineStr">
        <is>
          <t>KRONOBERGS LÄN</t>
        </is>
      </c>
      <c r="G515" t="inlineStr">
        <is>
          <t>ALVESTA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40065-2026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46293</v>
      </c>
      <c r="E516" s="1" t="n">
        <v>46302</v>
      </c>
      <c r="F516" t="inlineStr">
        <is>
          <t>KRONOBERGS LÄN</t>
        </is>
      </c>
      <c r="G516" t="inlineStr">
        <is>
          <t>ALVESTA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45726</v>
      </c>
      <c r="E517" s="1" t="n">
        <v>46302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53226-2024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45613</v>
      </c>
      <c r="E518" s="1" t="n">
        <v>46302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46302</v>
      </c>
      <c r="F519" t="inlineStr">
        <is>
          <t>KRONOBERGS LÄN</t>
        </is>
      </c>
      <c r="G519" t="inlineStr">
        <is>
          <t>ALVESTA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46302</v>
      </c>
      <c r="F520" t="inlineStr">
        <is>
          <t>KRONOBERGS LÄN</t>
        </is>
      </c>
      <c r="G520" t="inlineStr">
        <is>
          <t>ALVESTA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44998</v>
      </c>
      <c r="E521" s="1" t="n">
        <v>46302</v>
      </c>
      <c r="F521" t="inlineStr">
        <is>
          <t>KRONOBERGS LÄN</t>
        </is>
      </c>
      <c r="G521" t="inlineStr">
        <is>
          <t>ALVESTA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44943</v>
      </c>
      <c r="E522" s="1" t="n">
        <v>46302</v>
      </c>
      <c r="F522" t="inlineStr">
        <is>
          <t>KRONOBERGS LÄN</t>
        </is>
      </c>
      <c r="G522" t="inlineStr">
        <is>
          <t>ALVESTA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9687-2024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45362</v>
      </c>
      <c r="E523" s="1" t="n">
        <v>46302</v>
      </c>
      <c r="F523" t="inlineStr">
        <is>
          <t>KRONOBERGS LÄN</t>
        </is>
      </c>
      <c r="G523" t="inlineStr">
        <is>
          <t>ALVESTA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45644</v>
      </c>
      <c r="E524" s="1" t="n">
        <v>46302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46302</v>
      </c>
      <c r="F525" t="inlineStr">
        <is>
          <t>KRONOBERGS LÄN</t>
        </is>
      </c>
      <c r="G525" t="inlineStr">
        <is>
          <t>ALVESTA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46302</v>
      </c>
      <c r="F526" t="inlineStr">
        <is>
          <t>KRONOBERGS LÄN</t>
        </is>
      </c>
      <c r="G526" t="inlineStr">
        <is>
          <t>ALVESTA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44994</v>
      </c>
      <c r="E527" s="1" t="n">
        <v>46302</v>
      </c>
      <c r="F527" t="inlineStr">
        <is>
          <t>KRONOBERGS LÄN</t>
        </is>
      </c>
      <c r="G527" t="inlineStr">
        <is>
          <t>ALVESTA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45267</v>
      </c>
      <c r="E528" s="1" t="n">
        <v>46302</v>
      </c>
      <c r="F528" t="inlineStr">
        <is>
          <t>KRONOBERGS LÄN</t>
        </is>
      </c>
      <c r="G528" t="inlineStr">
        <is>
          <t>ALVESTA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45076</v>
      </c>
      <c r="E529" s="1" t="n">
        <v>46302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45092</v>
      </c>
      <c r="E530" s="1" t="n">
        <v>46302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45308</v>
      </c>
      <c r="E531" s="1" t="n">
        <v>46302</v>
      </c>
      <c r="F531" t="inlineStr">
        <is>
          <t>KRONOBERGS LÄN</t>
        </is>
      </c>
      <c r="G531" t="inlineStr">
        <is>
          <t>ALVESTA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38890-2023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45161</v>
      </c>
      <c r="E532" s="1" t="n">
        <v>46302</v>
      </c>
      <c r="F532" t="inlineStr">
        <is>
          <t>KRONOBERGS LÄN</t>
        </is>
      </c>
      <c r="G532" t="inlineStr">
        <is>
          <t>ALVESTA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40866-2026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46297</v>
      </c>
      <c r="E533" s="1" t="n">
        <v>46302</v>
      </c>
      <c r="F533" t="inlineStr">
        <is>
          <t>KRONOBERGS LÄN</t>
        </is>
      </c>
      <c r="G533" t="inlineStr">
        <is>
          <t>ALVESTA</t>
        </is>
      </c>
      <c r="H533" t="inlineStr">
        <is>
          <t>Övriga Aktiebolag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46302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44880</v>
      </c>
      <c r="E535" s="1" t="n">
        <v>46302</v>
      </c>
      <c r="F535" t="inlineStr">
        <is>
          <t>KRONOBERGS LÄN</t>
        </is>
      </c>
      <c r="G535" t="inlineStr">
        <is>
          <t>ALVESTA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59492-2022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44907</v>
      </c>
      <c r="E536" s="1" t="n">
        <v>46302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42411-2023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45180</v>
      </c>
      <c r="E537" s="1" t="n">
        <v>46302</v>
      </c>
      <c r="F537" t="inlineStr">
        <is>
          <t>KRONOBERGS LÄN</t>
        </is>
      </c>
      <c r="G537" t="inlineStr">
        <is>
          <t>ALVESTA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40836-2026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46296</v>
      </c>
      <c r="E538" s="1" t="n">
        <v>46302</v>
      </c>
      <c r="F538" t="inlineStr">
        <is>
          <t>KRONOBERGS LÄN</t>
        </is>
      </c>
      <c r="G538" t="inlineStr">
        <is>
          <t>ALVESTA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49078-2023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45210</v>
      </c>
      <c r="E539" s="1" t="n">
        <v>46302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46302</v>
      </c>
      <c r="F540" t="inlineStr">
        <is>
          <t>KRONOBERGS LÄN</t>
        </is>
      </c>
      <c r="G540" t="inlineStr">
        <is>
          <t>ALVESTA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9244-2024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45358</v>
      </c>
      <c r="E541" s="1" t="n">
        <v>46302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62645-2022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44925</v>
      </c>
      <c r="E542" s="1" t="n">
        <v>46302</v>
      </c>
      <c r="F542" t="inlineStr">
        <is>
          <t>KRONOBERGS LÄN</t>
        </is>
      </c>
      <c r="G542" t="inlineStr">
        <is>
          <t>ALVESTA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59340-2025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45989</v>
      </c>
      <c r="E543" s="1" t="n">
        <v>46302</v>
      </c>
      <c r="F543" t="inlineStr">
        <is>
          <t>KRONOBERGS LÄN</t>
        </is>
      </c>
      <c r="G543" t="inlineStr">
        <is>
          <t>ALVESTA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34968-2026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46259</v>
      </c>
      <c r="E544" s="1" t="n">
        <v>46302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41054-2026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46300</v>
      </c>
      <c r="E545" s="1" t="n">
        <v>46302</v>
      </c>
      <c r="F545" t="inlineStr">
        <is>
          <t>KRONOBERGS LÄN</t>
        </is>
      </c>
      <c r="G545" t="inlineStr">
        <is>
          <t>ALVESTA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45302</v>
      </c>
      <c r="E546" s="1" t="n">
        <v>46302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46302</v>
      </c>
      <c r="F547" t="inlineStr">
        <is>
          <t>KRONOBERGS LÄN</t>
        </is>
      </c>
      <c r="G547" t="inlineStr">
        <is>
          <t>ALVESTA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45032</v>
      </c>
      <c r="E548" s="1" t="n">
        <v>46302</v>
      </c>
      <c r="F548" t="inlineStr">
        <is>
          <t>KRONOBERGS LÄN</t>
        </is>
      </c>
      <c r="G548" t="inlineStr">
        <is>
          <t>ALVESTA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50703-2023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45217</v>
      </c>
      <c r="E549" s="1" t="n">
        <v>46302</v>
      </c>
      <c r="F549" t="inlineStr">
        <is>
          <t>KRONOBERGS LÄN</t>
        </is>
      </c>
      <c r="G549" t="inlineStr">
        <is>
          <t>ALVESTA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45128</v>
      </c>
      <c r="E550" s="1" t="n">
        <v>46302</v>
      </c>
      <c r="F550" t="inlineStr">
        <is>
          <t>KRONOBERGS LÄN</t>
        </is>
      </c>
      <c r="G550" t="inlineStr">
        <is>
          <t>ALVESTA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45744</v>
      </c>
      <c r="E551" s="1" t="n">
        <v>46302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28336-2022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44747</v>
      </c>
      <c r="E552" s="1" t="n">
        <v>46302</v>
      </c>
      <c r="F552" t="inlineStr">
        <is>
          <t>KRONOBERGS LÄN</t>
        </is>
      </c>
      <c r="G552" t="inlineStr">
        <is>
          <t>ALVESTA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44978</v>
      </c>
      <c r="E553" s="1" t="n">
        <v>46302</v>
      </c>
      <c r="F553" t="inlineStr">
        <is>
          <t>KRONOBERGS LÄN</t>
        </is>
      </c>
      <c r="G553" t="inlineStr">
        <is>
          <t>ALVESTA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44581</v>
      </c>
      <c r="E554" s="1" t="n">
        <v>46302</v>
      </c>
      <c r="F554" t="inlineStr">
        <is>
          <t>KRONOBERGS LÄN</t>
        </is>
      </c>
      <c r="G554" t="inlineStr">
        <is>
          <t>ALVESTA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46302</v>
      </c>
      <c r="F555" t="inlineStr">
        <is>
          <t>KRONOBERGS LÄN</t>
        </is>
      </c>
      <c r="G555" t="inlineStr">
        <is>
          <t>ALVESTA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5045-2024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46302</v>
      </c>
      <c r="F556" t="inlineStr">
        <is>
          <t>KRONOBERGS LÄN</t>
        </is>
      </c>
      <c r="G556" t="inlineStr">
        <is>
          <t>ALVESTA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45136</v>
      </c>
      <c r="E557" s="1" t="n">
        <v>46302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45436</v>
      </c>
      <c r="E558" s="1" t="n">
        <v>46302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45555</v>
      </c>
      <c r="E559" s="1" t="n">
        <v>46302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45565</v>
      </c>
      <c r="E560" s="1" t="n">
        <v>46302</v>
      </c>
      <c r="F560" t="inlineStr">
        <is>
          <t>KRONOBERGS LÄN</t>
        </is>
      </c>
      <c r="G560" t="inlineStr">
        <is>
          <t>ALVESTA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49407-2024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45595</v>
      </c>
      <c r="E561" s="1" t="n">
        <v>46302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45308</v>
      </c>
      <c r="E562" s="1" t="n">
        <v>46302</v>
      </c>
      <c r="F562" t="inlineStr">
        <is>
          <t>KRONOBERGS LÄN</t>
        </is>
      </c>
      <c r="G562" t="inlineStr">
        <is>
          <t>ALVESTA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46302</v>
      </c>
      <c r="F563" t="inlineStr">
        <is>
          <t>KRONOBERGS LÄN</t>
        </is>
      </c>
      <c r="G563" t="inlineStr">
        <is>
          <t>ALVESTA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45330</v>
      </c>
      <c r="E564" s="1" t="n">
        <v>46302</v>
      </c>
      <c r="F564" t="inlineStr">
        <is>
          <t>KRONOBERGS LÄN</t>
        </is>
      </c>
      <c r="G564" t="inlineStr">
        <is>
          <t>ALVESTA</t>
        </is>
      </c>
      <c r="H564" t="inlineStr">
        <is>
          <t>Övriga Aktiebolag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26225-2022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44735</v>
      </c>
      <c r="E565" s="1" t="n">
        <v>46302</v>
      </c>
      <c r="F565" t="inlineStr">
        <is>
          <t>KRONOBERGS LÄN</t>
        </is>
      </c>
      <c r="G565" t="inlineStr">
        <is>
          <t>ALVESTA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46302</v>
      </c>
      <c r="F566" t="inlineStr">
        <is>
          <t>KRONOBERGS LÄN</t>
        </is>
      </c>
      <c r="G566" t="inlineStr">
        <is>
          <t>ALVESTA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46302</v>
      </c>
      <c r="F567" t="inlineStr">
        <is>
          <t>KRONOBERGS LÄN</t>
        </is>
      </c>
      <c r="G567" t="inlineStr">
        <is>
          <t>ALVESTA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45342</v>
      </c>
      <c r="E568" s="1" t="n">
        <v>46302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57121-2022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44895</v>
      </c>
      <c r="E569" s="1" t="n">
        <v>46302</v>
      </c>
      <c r="F569" t="inlineStr">
        <is>
          <t>KRONOBERGS LÄN</t>
        </is>
      </c>
      <c r="G569" t="inlineStr">
        <is>
          <t>ALVESTA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45519</v>
      </c>
      <c r="E570" s="1" t="n">
        <v>46302</v>
      </c>
      <c r="F570" t="inlineStr">
        <is>
          <t>KRONOBERGS LÄN</t>
        </is>
      </c>
      <c r="G570" t="inlineStr">
        <is>
          <t>ALVESTA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18677-2025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45763</v>
      </c>
      <c r="E571" s="1" t="n">
        <v>46302</v>
      </c>
      <c r="F571" t="inlineStr">
        <is>
          <t>KRONOBERGS LÄN</t>
        </is>
      </c>
      <c r="G571" t="inlineStr">
        <is>
          <t>ALVESTA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45336</v>
      </c>
      <c r="E572" s="1" t="n">
        <v>46302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72318-2021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44545</v>
      </c>
      <c r="E573" s="1" t="n">
        <v>46302</v>
      </c>
      <c r="F573" t="inlineStr">
        <is>
          <t>KRONOBERGS LÄN</t>
        </is>
      </c>
      <c r="G573" t="inlineStr">
        <is>
          <t>ALVESTA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45153</v>
      </c>
      <c r="E574" s="1" t="n">
        <v>46302</v>
      </c>
      <c r="F574" t="inlineStr">
        <is>
          <t>KRONOBERGS LÄN</t>
        </is>
      </c>
      <c r="G574" t="inlineStr">
        <is>
          <t>ALVESTA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46302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42397-2023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45180</v>
      </c>
      <c r="E576" s="1" t="n">
        <v>46302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38385-2022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44812</v>
      </c>
      <c r="E577" s="1" t="n">
        <v>46302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46302</v>
      </c>
      <c r="F578" t="inlineStr">
        <is>
          <t>KRONOBERGS LÄN</t>
        </is>
      </c>
      <c r="G578" t="inlineStr">
        <is>
          <t>ALVESTA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36182-2023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45149</v>
      </c>
      <c r="E579" s="1" t="n">
        <v>46302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27247-2024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45471</v>
      </c>
      <c r="E580" s="1" t="n">
        <v>46302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45471</v>
      </c>
      <c r="E581" s="1" t="n">
        <v>46302</v>
      </c>
      <c r="F581" t="inlineStr">
        <is>
          <t>KRONOBERGS LÄN</t>
        </is>
      </c>
      <c r="G581" t="inlineStr">
        <is>
          <t>ALVESTA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61902-2024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45653</v>
      </c>
      <c r="E582" s="1" t="n">
        <v>46302</v>
      </c>
      <c r="F582" t="inlineStr">
        <is>
          <t>KRONOBERGS LÄN</t>
        </is>
      </c>
      <c r="G582" t="inlineStr">
        <is>
          <t>ALVESTA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45447</v>
      </c>
      <c r="E583" s="1" t="n">
        <v>46302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46302</v>
      </c>
      <c r="F584" t="inlineStr">
        <is>
          <t>KRONOBERGS LÄN</t>
        </is>
      </c>
      <c r="G584" t="inlineStr">
        <is>
          <t>ALVESTA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37278-2024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45540</v>
      </c>
      <c r="E585" s="1" t="n">
        <v>46302</v>
      </c>
      <c r="F585" t="inlineStr">
        <is>
          <t>KRONOBERGS LÄN</t>
        </is>
      </c>
      <c r="G585" t="inlineStr">
        <is>
          <t>ALVESTA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65094-2023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45288</v>
      </c>
      <c r="E586" s="1" t="n">
        <v>46302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46302</v>
      </c>
      <c r="F587" t="inlineStr">
        <is>
          <t>KRONOBERGS LÄN</t>
        </is>
      </c>
      <c r="G587" t="inlineStr">
        <is>
          <t>ALVESTA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45712</v>
      </c>
      <c r="E588" s="1" t="n">
        <v>46302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39501-2024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46302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12917-2024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46302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46302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45700</v>
      </c>
      <c r="E592" s="1" t="n">
        <v>46302</v>
      </c>
      <c r="F592" t="inlineStr">
        <is>
          <t>KRONOBERGS LÄN</t>
        </is>
      </c>
      <c r="G592" t="inlineStr">
        <is>
          <t>ALVESTA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45616</v>
      </c>
      <c r="E593" s="1" t="n">
        <v>46302</v>
      </c>
      <c r="F593" t="inlineStr">
        <is>
          <t>KRONOBERGS LÄN</t>
        </is>
      </c>
      <c r="G593" t="inlineStr">
        <is>
          <t>ALVESTA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16376-2024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45407</v>
      </c>
      <c r="E594" s="1" t="n">
        <v>46302</v>
      </c>
      <c r="F594" t="inlineStr">
        <is>
          <t>KRONOBERGS LÄN</t>
        </is>
      </c>
      <c r="G594" t="inlineStr">
        <is>
          <t>ALVESTA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45418</v>
      </c>
      <c r="E595" s="1" t="n">
        <v>46302</v>
      </c>
      <c r="F595" t="inlineStr">
        <is>
          <t>KRONOBERGS LÄN</t>
        </is>
      </c>
      <c r="G595" t="inlineStr">
        <is>
          <t>ALVESTA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45440</v>
      </c>
      <c r="E596" s="1" t="n">
        <v>46302</v>
      </c>
      <c r="F596" t="inlineStr">
        <is>
          <t>KRONOBERGS LÄN</t>
        </is>
      </c>
      <c r="G596" t="inlineStr">
        <is>
          <t>ALVESTA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46302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45363</v>
      </c>
      <c r="E598" s="1" t="n">
        <v>46302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46302</v>
      </c>
      <c r="F599" t="inlineStr">
        <is>
          <t>KRONOBERGS LÄN</t>
        </is>
      </c>
      <c r="G599" t="inlineStr">
        <is>
          <t>ALVESTA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45790</v>
      </c>
      <c r="E600" s="1" t="n">
        <v>46302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45015</v>
      </c>
      <c r="E601" s="1" t="n">
        <v>46302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37940-2024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45544</v>
      </c>
      <c r="E602" s="1" t="n">
        <v>46302</v>
      </c>
      <c r="F602" t="inlineStr">
        <is>
          <t>KRONOBERGS LÄN</t>
        </is>
      </c>
      <c r="G602" t="inlineStr">
        <is>
          <t>ALVESTA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45391</v>
      </c>
      <c r="E603" s="1" t="n">
        <v>46302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17737-2024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46302</v>
      </c>
      <c r="F604" t="inlineStr">
        <is>
          <t>KRONOBERGS LÄN</t>
        </is>
      </c>
      <c r="G604" t="inlineStr">
        <is>
          <t>ALVESTA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45518</v>
      </c>
      <c r="E605" s="1" t="n">
        <v>46302</v>
      </c>
      <c r="F605" t="inlineStr">
        <is>
          <t>KRONOBERGS LÄN</t>
        </is>
      </c>
      <c r="G605" t="inlineStr">
        <is>
          <t>ALVESTA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46302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46302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46302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46302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46302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46302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46302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46302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46302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46302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46302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46302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46302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46302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46302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46302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46302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46302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46302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46302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46302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46302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46302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46302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46302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46302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46302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46302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46302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46302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46302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46302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2026-10-07T02:04:18Z</dcterms:created>
  <dcterms:modified xmlns:dcterms="http://purl.org/dc/terms/" xmlns:xsi="http://www.w3.org/2001/XMLSchema-instance" xsi:type="dcterms:W3CDTF">2026-10-07T02:04:19Z</dcterms:modified>
</cp:coreProperties>
</file>