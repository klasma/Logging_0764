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46238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46238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46238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46238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46238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46238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46238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46238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46238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46238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46238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46238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46238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46238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46238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46238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46238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46238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46238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11669-2024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46238</v>
      </c>
      <c r="F32" t="inlineStr">
        <is>
          <t>KRONOBERGS LÄN</t>
        </is>
      </c>
      <c r="G32" t="inlineStr">
        <is>
          <t>ALVESTA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Skuggmossa</t>
        </is>
      </c>
      <c r="W32">
        <f>HYPERLINK("https://klasma.github.io/Logging_0764/artfynd/A 11669-2024 artfynd.xlsx", "A 11669-2024")</f>
        <v/>
      </c>
      <c r="X32">
        <f>HYPERLINK("https://klasma.github.io/Logging_0764/kartor/A 11669-2024 karta.png", "A 11669-2024")</f>
        <v/>
      </c>
      <c r="Y32">
        <f>HYPERLINK("https://klasma.github.io/Logging_0764/kartor_geotiff/A 11669-2024 georefererad karta.tif", "A 11669-2024")</f>
        <v/>
      </c>
      <c r="AA32">
        <f>HYPERLINK("https://klasma.github.io/Logging_0764/klagomål/A 11669-2024 FSC-klagomål.docx", "A 11669-2024")</f>
        <v/>
      </c>
      <c r="AB32">
        <f>HYPERLINK("https://klasma.github.io/Logging_0764/klagomålsmail/A 11669-2024 FSC-klagomål mail.docx", "A 11669-2024")</f>
        <v/>
      </c>
      <c r="AC32">
        <f>HYPERLINK("https://klasma.github.io/Logging_0764/tillsyn/A 11669-2024 tillsynsbegäran.docx", "A 11669-2024")</f>
        <v/>
      </c>
      <c r="AD32">
        <f>HYPERLINK("https://klasma.github.io/Logging_0764/tillsynsmail/A 11669-2024 tillsynsbegäran mail.docx", "A 11669-2024")</f>
        <v/>
      </c>
    </row>
    <row r="33" ht="15" customHeight="1">
      <c r="A33" t="inlineStr">
        <is>
          <t>A 29382-2023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46238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29382-2023 artfynd.xlsx", "A 29382-2023")</f>
        <v/>
      </c>
      <c r="X33">
        <f>HYPERLINK("https://klasma.github.io/Logging_0764/kartor/A 29382-2023 karta.png", "A 29382-2023")</f>
        <v/>
      </c>
      <c r="Y33">
        <f>HYPERLINK("https://klasma.github.io/Logging_0764/kartor_geotiff/A 29382-2023 georefererad karta.tif", "A 29382-2023")</f>
        <v/>
      </c>
      <c r="AA33">
        <f>HYPERLINK("https://klasma.github.io/Logging_0764/klagomål/A 29382-2023 FSC-klagomål.docx", "A 29382-2023")</f>
        <v/>
      </c>
      <c r="AB33">
        <f>HYPERLINK("https://klasma.github.io/Logging_0764/klagomålsmail/A 29382-2023 FSC-klagomål mail.docx", "A 29382-2023")</f>
        <v/>
      </c>
      <c r="AC33">
        <f>HYPERLINK("https://klasma.github.io/Logging_0764/tillsyn/A 29382-2023 tillsynsbegäran.docx", "A 29382-2023")</f>
        <v/>
      </c>
      <c r="AD33">
        <f>HYPERLINK("https://klasma.github.io/Logging_0764/tillsynsmail/A 29382-2023 tillsynsbegäran mail.docx", "A 29382-2023")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46238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38890-2024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46238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Hårklomossa</t>
        </is>
      </c>
      <c r="W35">
        <f>HYPERLINK("https://klasma.github.io/Logging_0764/artfynd/A 38890-2024 artfynd.xlsx", "A 38890-2024")</f>
        <v/>
      </c>
      <c r="X35">
        <f>HYPERLINK("https://klasma.github.io/Logging_0764/kartor/A 38890-2024 karta.png", "A 38890-2024")</f>
        <v/>
      </c>
      <c r="Y35">
        <f>HYPERLINK("https://klasma.github.io/Logging_0764/kartor_geotiff/A 38890-2024 georefererad karta.tif", "A 38890-2024")</f>
        <v/>
      </c>
      <c r="AA35">
        <f>HYPERLINK("https://klasma.github.io/Logging_0764/klagomål/A 38890-2024 FSC-klagomål.docx", "A 38890-2024")</f>
        <v/>
      </c>
      <c r="AB35">
        <f>HYPERLINK("https://klasma.github.io/Logging_0764/klagomålsmail/A 38890-2024 FSC-klagomål mail.docx", "A 38890-2024")</f>
        <v/>
      </c>
      <c r="AC35">
        <f>HYPERLINK("https://klasma.github.io/Logging_0764/tillsyn/A 38890-2024 tillsynsbegäran.docx", "A 38890-2024")</f>
        <v/>
      </c>
      <c r="AD35">
        <f>HYPERLINK("https://klasma.github.io/Logging_0764/tillsynsmail/A 38890-2024 tillsynsbegäran mail.docx", "A 38890-2024")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46238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46238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46238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30604-2023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46238</v>
      </c>
      <c r="F39" t="inlineStr">
        <is>
          <t>KRONOBERGS LÄN</t>
        </is>
      </c>
      <c r="G39" t="inlineStr">
        <is>
          <t>ALVESTA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Orre</t>
        </is>
      </c>
      <c r="W39">
        <f>HYPERLINK("https://klasma.github.io/Logging_0764/artfynd/A 30604-2023 artfynd.xlsx", "A 30604-2023")</f>
        <v/>
      </c>
      <c r="X39">
        <f>HYPERLINK("https://klasma.github.io/Logging_0764/kartor/A 30604-2023 karta.png", "A 30604-2023")</f>
        <v/>
      </c>
      <c r="Y39">
        <f>HYPERLINK("https://klasma.github.io/Logging_0764/kartor_geotiff/A 30604-2023 georefererad karta.tif", "A 30604-2023")</f>
        <v/>
      </c>
      <c r="AA39">
        <f>HYPERLINK("https://klasma.github.io/Logging_0764/klagomål/A 30604-2023 FSC-klagomål.docx", "A 30604-2023")</f>
        <v/>
      </c>
      <c r="AB39">
        <f>HYPERLINK("https://klasma.github.io/Logging_0764/klagomålsmail/A 30604-2023 FSC-klagomål mail.docx", "A 30604-2023")</f>
        <v/>
      </c>
      <c r="AC39">
        <f>HYPERLINK("https://klasma.github.io/Logging_0764/tillsyn/A 30604-2023 tillsynsbegäran.docx", "A 30604-2023")</f>
        <v/>
      </c>
      <c r="AD39">
        <f>HYPERLINK("https://klasma.github.io/Logging_0764/tillsynsmail/A 30604-2023 tillsynsbegäran mail.docx", "A 30604-2023")</f>
        <v/>
      </c>
      <c r="AE39">
        <f>HYPERLINK("https://klasma.github.io/Logging_0764/fåglar/A 30604-2023 prioriterade fågelarter.docx", "A 30604-2023")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46238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46238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46238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46238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46238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46238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46238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46238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46238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46238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46238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46238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46238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46238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46238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46238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46238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46238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46238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44613</v>
      </c>
      <c r="E59" s="1" t="n">
        <v>46238</v>
      </c>
      <c r="F59" t="inlineStr">
        <is>
          <t>KRONOBERGS LÄN</t>
        </is>
      </c>
      <c r="G59" t="inlineStr">
        <is>
          <t>ALVESTA</t>
        </is>
      </c>
      <c r="H59" t="inlineStr">
        <is>
          <t>Kommuner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46238</v>
      </c>
      <c r="F60" t="inlineStr">
        <is>
          <t>KRONOBERGS LÄN</t>
        </is>
      </c>
      <c r="G60" t="inlineStr">
        <is>
          <t>ALVESTA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46238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46238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46238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46238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46238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46238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46238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46238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46238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46238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46238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46238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46238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46238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46238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46238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46238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46238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46238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46238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46238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46238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46238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46238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46238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46238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46238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46238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46238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46238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46238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46238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46238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46238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46238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46238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46238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46238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46238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46238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46238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46238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46238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46238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46238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46238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46238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46238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46238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46238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46238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46238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46238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46238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46238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44592</v>
      </c>
      <c r="E116" s="1" t="n">
        <v>46238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46238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46238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46238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46238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46238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46238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46238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46238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46238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46238</v>
      </c>
      <c r="F126" t="inlineStr">
        <is>
          <t>KRONOBERGS LÄN</t>
        </is>
      </c>
      <c r="G126" t="inlineStr">
        <is>
          <t>ALVESTA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46238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46238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46238</v>
      </c>
      <c r="F129" t="inlineStr">
        <is>
          <t>KRONOBERGS LÄN</t>
        </is>
      </c>
      <c r="G129" t="inlineStr">
        <is>
          <t>ALVESTA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46238</v>
      </c>
      <c r="F130" t="inlineStr">
        <is>
          <t>KRONOBERGS LÄN</t>
        </is>
      </c>
      <c r="G130" t="inlineStr">
        <is>
          <t>ALVESTA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46238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46238</v>
      </c>
      <c r="F132" t="inlineStr">
        <is>
          <t>KRONOBERGS LÄN</t>
        </is>
      </c>
      <c r="G132" t="inlineStr">
        <is>
          <t>ALVESTA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46238</v>
      </c>
      <c r="F133" t="inlineStr">
        <is>
          <t>KRONOBERGS LÄN</t>
        </is>
      </c>
      <c r="G133" t="inlineStr">
        <is>
          <t>ALVESTA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46238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44569</v>
      </c>
      <c r="E135" s="1" t="n">
        <v>46238</v>
      </c>
      <c r="F135" t="inlineStr">
        <is>
          <t>KRONOBERGS LÄN</t>
        </is>
      </c>
      <c r="G135" t="inlineStr">
        <is>
          <t>ALVESTA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46238</v>
      </c>
      <c r="F136" t="inlineStr">
        <is>
          <t>KRONOBERGS LÄN</t>
        </is>
      </c>
      <c r="G136" t="inlineStr">
        <is>
          <t>ALVESTA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46238</v>
      </c>
      <c r="F137" t="inlineStr">
        <is>
          <t>KRONOBERGS LÄN</t>
        </is>
      </c>
      <c r="G137" t="inlineStr">
        <is>
          <t>ALVESTA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44985</v>
      </c>
      <c r="E138" s="1" t="n">
        <v>46238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46238</v>
      </c>
      <c r="F139" t="inlineStr">
        <is>
          <t>KRONOBERGS LÄN</t>
        </is>
      </c>
      <c r="G139" t="inlineStr">
        <is>
          <t>ALVESTA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40304-2021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44419</v>
      </c>
      <c r="E140" s="1" t="n">
        <v>46238</v>
      </c>
      <c r="F140" t="inlineStr">
        <is>
          <t>KRONOBERGS LÄN</t>
        </is>
      </c>
      <c r="G140" t="inlineStr">
        <is>
          <t>ALVESTA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46238</v>
      </c>
      <c r="F141" t="inlineStr">
        <is>
          <t>KRONOBERGS LÄN</t>
        </is>
      </c>
      <c r="G141" t="inlineStr">
        <is>
          <t>ALVESTA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46238</v>
      </c>
      <c r="F142" t="inlineStr">
        <is>
          <t>KRONOBERGS LÄN</t>
        </is>
      </c>
      <c r="G142" t="inlineStr">
        <is>
          <t>ALVESTA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46238</v>
      </c>
      <c r="F143" t="inlineStr">
        <is>
          <t>KRONOBERGS LÄN</t>
        </is>
      </c>
      <c r="G143" t="inlineStr">
        <is>
          <t>ALVESTA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46238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46238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46238</v>
      </c>
      <c r="F146" t="inlineStr">
        <is>
          <t>KRONOBERGS LÄN</t>
        </is>
      </c>
      <c r="G146" t="inlineStr">
        <is>
          <t>ALVESTA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46238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46238</v>
      </c>
      <c r="F148" t="inlineStr">
        <is>
          <t>KRONOBERGS LÄN</t>
        </is>
      </c>
      <c r="G148" t="inlineStr">
        <is>
          <t>ALVESTA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46238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46238</v>
      </c>
      <c r="F150" t="inlineStr">
        <is>
          <t>KRONOBERGS LÄN</t>
        </is>
      </c>
      <c r="G150" t="inlineStr">
        <is>
          <t>ALVESTA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46238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46238</v>
      </c>
      <c r="F152" t="inlineStr">
        <is>
          <t>KRONOBERGS LÄN</t>
        </is>
      </c>
      <c r="G152" t="inlineStr">
        <is>
          <t>ALVESTA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46238</v>
      </c>
      <c r="F153" t="inlineStr">
        <is>
          <t>KRONOBERGS LÄN</t>
        </is>
      </c>
      <c r="G153" t="inlineStr">
        <is>
          <t>ALVESTA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46238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46238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46238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46238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46238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46238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46238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46238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46238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46238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46238</v>
      </c>
      <c r="F164" t="inlineStr">
        <is>
          <t>KRONOBERGS LÄN</t>
        </is>
      </c>
      <c r="G164" t="inlineStr">
        <is>
          <t>ALVESTA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46238</v>
      </c>
      <c r="F165" t="inlineStr">
        <is>
          <t>KRONOBERGS LÄN</t>
        </is>
      </c>
      <c r="G165" t="inlineStr">
        <is>
          <t>ALVESTA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46238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46238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46238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44818-2024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45574</v>
      </c>
      <c r="E169" s="1" t="n">
        <v>46238</v>
      </c>
      <c r="F169" t="inlineStr">
        <is>
          <t>KRONOBERGS LÄN</t>
        </is>
      </c>
      <c r="G169" t="inlineStr">
        <is>
          <t>ALVESTA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46238</v>
      </c>
      <c r="F170" t="inlineStr">
        <is>
          <t>KRONOBERGS LÄN</t>
        </is>
      </c>
      <c r="G170" t="inlineStr">
        <is>
          <t>ALVESTA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46238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45708</v>
      </c>
      <c r="E172" s="1" t="n">
        <v>46238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46238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46238</v>
      </c>
      <c r="F174" t="inlineStr">
        <is>
          <t>KRONOBERGS LÄN</t>
        </is>
      </c>
      <c r="G174" t="inlineStr">
        <is>
          <t>ALVESTA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46238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46238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46238</v>
      </c>
      <c r="F177" t="inlineStr">
        <is>
          <t>KRONOBERGS LÄN</t>
        </is>
      </c>
      <c r="G177" t="inlineStr">
        <is>
          <t>ALVESTA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46238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45385</v>
      </c>
      <c r="E179" s="1" t="n">
        <v>46238</v>
      </c>
      <c r="F179" t="inlineStr">
        <is>
          <t>KRONOBERGS LÄN</t>
        </is>
      </c>
      <c r="G179" t="inlineStr">
        <is>
          <t>ALVESTA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45264</v>
      </c>
      <c r="E180" s="1" t="n">
        <v>46238</v>
      </c>
      <c r="F180" t="inlineStr">
        <is>
          <t>KRONOBERGS LÄN</t>
        </is>
      </c>
      <c r="G180" t="inlineStr">
        <is>
          <t>ALVESTA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46238</v>
      </c>
      <c r="F181" t="inlineStr">
        <is>
          <t>KRONOBERGS LÄN</t>
        </is>
      </c>
      <c r="G181" t="inlineStr">
        <is>
          <t>ALVESTA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46238</v>
      </c>
      <c r="F182" t="inlineStr">
        <is>
          <t>KRONOBERGS LÄN</t>
        </is>
      </c>
      <c r="G182" t="inlineStr">
        <is>
          <t>ALVESTA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46238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57118-2023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45245</v>
      </c>
      <c r="E184" s="1" t="n">
        <v>46238</v>
      </c>
      <c r="F184" t="inlineStr">
        <is>
          <t>KRONOBERGS LÄN</t>
        </is>
      </c>
      <c r="G184" t="inlineStr">
        <is>
          <t>ALVESTA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46238</v>
      </c>
      <c r="F185" t="inlineStr">
        <is>
          <t>KRONOBERGS LÄN</t>
        </is>
      </c>
      <c r="G185" t="inlineStr">
        <is>
          <t>ALVESTA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46238</v>
      </c>
      <c r="F186" t="inlineStr">
        <is>
          <t>KRONOBERGS LÄN</t>
        </is>
      </c>
      <c r="G186" t="inlineStr">
        <is>
          <t>ALVESTA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45338</v>
      </c>
      <c r="E187" s="1" t="n">
        <v>46238</v>
      </c>
      <c r="F187" t="inlineStr">
        <is>
          <t>KRONOBERGS LÄN</t>
        </is>
      </c>
      <c r="G187" t="inlineStr">
        <is>
          <t>ALVESTA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46238</v>
      </c>
      <c r="F188" t="inlineStr">
        <is>
          <t>KRONOBERGS LÄN</t>
        </is>
      </c>
      <c r="G188" t="inlineStr">
        <is>
          <t>ALVESTA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46238</v>
      </c>
      <c r="F189" t="inlineStr">
        <is>
          <t>KRONOBERGS LÄN</t>
        </is>
      </c>
      <c r="G189" t="inlineStr">
        <is>
          <t>ALVESTA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46238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46238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46238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44948</v>
      </c>
      <c r="E193" s="1" t="n">
        <v>46238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25261-2024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45462</v>
      </c>
      <c r="E194" s="1" t="n">
        <v>46238</v>
      </c>
      <c r="F194" t="inlineStr">
        <is>
          <t>KRONOBERGS LÄN</t>
        </is>
      </c>
      <c r="G194" t="inlineStr">
        <is>
          <t>ALVESTA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46238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46238</v>
      </c>
      <c r="F196" t="inlineStr">
        <is>
          <t>KRONOBERGS LÄN</t>
        </is>
      </c>
      <c r="G196" t="inlineStr">
        <is>
          <t>ALVESTA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46238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46238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46238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46238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46238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46238</v>
      </c>
      <c r="F202" t="inlineStr">
        <is>
          <t>KRONOBERGS LÄN</t>
        </is>
      </c>
      <c r="G202" t="inlineStr">
        <is>
          <t>ALVESTA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46238</v>
      </c>
      <c r="F203" t="inlineStr">
        <is>
          <t>KRONOBERGS LÄN</t>
        </is>
      </c>
      <c r="G203" t="inlineStr">
        <is>
          <t>ALVESTA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46238</v>
      </c>
      <c r="F204" t="inlineStr">
        <is>
          <t>KRONOBERGS LÄN</t>
        </is>
      </c>
      <c r="G204" t="inlineStr">
        <is>
          <t>ALVESTA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46238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46238</v>
      </c>
      <c r="F206" t="inlineStr">
        <is>
          <t>KRONOBERGS LÄN</t>
        </is>
      </c>
      <c r="G206" t="inlineStr">
        <is>
          <t>ALVESTA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45868</v>
      </c>
      <c r="E207" s="1" t="n">
        <v>46238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46238</v>
      </c>
      <c r="F208" t="inlineStr">
        <is>
          <t>KRONOBERGS LÄN</t>
        </is>
      </c>
      <c r="G208" t="inlineStr">
        <is>
          <t>ALVESTA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45467</v>
      </c>
      <c r="E209" s="1" t="n">
        <v>46238</v>
      </c>
      <c r="F209" t="inlineStr">
        <is>
          <t>KRONOBERGS LÄN</t>
        </is>
      </c>
      <c r="G209" t="inlineStr">
        <is>
          <t>ALVESTA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46238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46238</v>
      </c>
      <c r="F211" t="inlineStr">
        <is>
          <t>KRONOBERGS LÄN</t>
        </is>
      </c>
      <c r="G211" t="inlineStr">
        <is>
          <t>ALVESTA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60559-2022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44911</v>
      </c>
      <c r="E212" s="1" t="n">
        <v>46238</v>
      </c>
      <c r="F212" t="inlineStr">
        <is>
          <t>KRONOBERGS LÄN</t>
        </is>
      </c>
      <c r="G212" t="inlineStr">
        <is>
          <t>ALVESTA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46238</v>
      </c>
      <c r="F213" t="inlineStr">
        <is>
          <t>KRONOBERGS LÄN</t>
        </is>
      </c>
      <c r="G213" t="inlineStr">
        <is>
          <t>ALVESTA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46238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46238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45128</v>
      </c>
      <c r="E216" s="1" t="n">
        <v>46238</v>
      </c>
      <c r="F216" t="inlineStr">
        <is>
          <t>KRONOBERGS LÄN</t>
        </is>
      </c>
      <c r="G216" t="inlineStr">
        <is>
          <t>ALVESTA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46238</v>
      </c>
      <c r="F217" t="inlineStr">
        <is>
          <t>KRONOBERGS LÄN</t>
        </is>
      </c>
      <c r="G217" t="inlineStr">
        <is>
          <t>ALVESTA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46238</v>
      </c>
      <c r="F218" t="inlineStr">
        <is>
          <t>KRONOBERGS LÄN</t>
        </is>
      </c>
      <c r="G218" t="inlineStr">
        <is>
          <t>ALVESTA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46120</v>
      </c>
      <c r="E219" s="1" t="n">
        <v>46238</v>
      </c>
      <c r="F219" t="inlineStr">
        <is>
          <t>KRONOBERGS LÄN</t>
        </is>
      </c>
      <c r="G219" t="inlineStr">
        <is>
          <t>ALVESTA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46238</v>
      </c>
      <c r="F220" t="inlineStr">
        <is>
          <t>KRONOBERGS LÄN</t>
        </is>
      </c>
      <c r="G220" t="inlineStr">
        <is>
          <t>ALVESTA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46238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46238</v>
      </c>
      <c r="F222" t="inlineStr">
        <is>
          <t>KRONOBERGS LÄN</t>
        </is>
      </c>
      <c r="G222" t="inlineStr">
        <is>
          <t>ALVESTA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67331-2021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44523</v>
      </c>
      <c r="E223" s="1" t="n">
        <v>46238</v>
      </c>
      <c r="F223" t="inlineStr">
        <is>
          <t>KRONOBERGS LÄN</t>
        </is>
      </c>
      <c r="G223" t="inlineStr">
        <is>
          <t>ALVESTA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3118-2025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45678</v>
      </c>
      <c r="E224" s="1" t="n">
        <v>46238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46238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45336</v>
      </c>
      <c r="E226" s="1" t="n">
        <v>46238</v>
      </c>
      <c r="F226" t="inlineStr">
        <is>
          <t>KRONOBERGS LÄN</t>
        </is>
      </c>
      <c r="G226" t="inlineStr">
        <is>
          <t>ALVESTA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45664</v>
      </c>
      <c r="E227" s="1" t="n">
        <v>46238</v>
      </c>
      <c r="F227" t="inlineStr">
        <is>
          <t>KRONOBERGS LÄN</t>
        </is>
      </c>
      <c r="G227" t="inlineStr">
        <is>
          <t>ALVESTA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45517</v>
      </c>
      <c r="E228" s="1" t="n">
        <v>46238</v>
      </c>
      <c r="F228" t="inlineStr">
        <is>
          <t>KRONOBERGS LÄN</t>
        </is>
      </c>
      <c r="G228" t="inlineStr">
        <is>
          <t>ALVESTA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46238</v>
      </c>
      <c r="F229" t="inlineStr">
        <is>
          <t>KRONOBERGS LÄN</t>
        </is>
      </c>
      <c r="G229" t="inlineStr">
        <is>
          <t>ALVESTA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60478-2023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45259</v>
      </c>
      <c r="E230" s="1" t="n">
        <v>46238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44838</v>
      </c>
      <c r="E231" s="1" t="n">
        <v>46238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45744</v>
      </c>
      <c r="E232" s="1" t="n">
        <v>46238</v>
      </c>
      <c r="F232" t="inlineStr">
        <is>
          <t>KRONOBERGS LÄN</t>
        </is>
      </c>
      <c r="G232" t="inlineStr">
        <is>
          <t>ALVESTA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46238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46122</v>
      </c>
      <c r="E234" s="1" t="n">
        <v>46238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46238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17801-2026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46122</v>
      </c>
      <c r="E236" s="1" t="n">
        <v>46238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46238</v>
      </c>
      <c r="F237" t="inlineStr">
        <is>
          <t>KRONOBERGS LÄN</t>
        </is>
      </c>
      <c r="G237" t="inlineStr">
        <is>
          <t>ALVESTA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45673</v>
      </c>
      <c r="E238" s="1" t="n">
        <v>46238</v>
      </c>
      <c r="F238" t="inlineStr">
        <is>
          <t>KRONOBERGS LÄN</t>
        </is>
      </c>
      <c r="G238" t="inlineStr">
        <is>
          <t>ALVESTA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46238</v>
      </c>
      <c r="F239" t="inlineStr">
        <is>
          <t>KRONOBERGS LÄN</t>
        </is>
      </c>
      <c r="G239" t="inlineStr">
        <is>
          <t>ALVESTA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50733-2023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45217</v>
      </c>
      <c r="E240" s="1" t="n">
        <v>46238</v>
      </c>
      <c r="F240" t="inlineStr">
        <is>
          <t>KRONOBERGS LÄN</t>
        </is>
      </c>
      <c r="G240" t="inlineStr">
        <is>
          <t>ALVESTA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45596</v>
      </c>
      <c r="E241" s="1" t="n">
        <v>46238</v>
      </c>
      <c r="F241" t="inlineStr">
        <is>
          <t>KRONOBERGS LÄN</t>
        </is>
      </c>
      <c r="G241" t="inlineStr">
        <is>
          <t>ALVESTA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46238</v>
      </c>
      <c r="F242" t="inlineStr">
        <is>
          <t>KRONOBERGS LÄN</t>
        </is>
      </c>
      <c r="G242" t="inlineStr">
        <is>
          <t>ALVESTA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45359</v>
      </c>
      <c r="E243" s="1" t="n">
        <v>46238</v>
      </c>
      <c r="F243" t="inlineStr">
        <is>
          <t>KRONOBERGS LÄN</t>
        </is>
      </c>
      <c r="G243" t="inlineStr">
        <is>
          <t>ALVESTA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46238</v>
      </c>
      <c r="F244" t="inlineStr">
        <is>
          <t>KRONOBERGS LÄN</t>
        </is>
      </c>
      <c r="G244" t="inlineStr">
        <is>
          <t>ALVESTA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46238</v>
      </c>
      <c r="F245" t="inlineStr">
        <is>
          <t>KRONOBERGS LÄN</t>
        </is>
      </c>
      <c r="G245" t="inlineStr">
        <is>
          <t>ALVESTA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46238</v>
      </c>
      <c r="F246" t="inlineStr">
        <is>
          <t>KRONOBERGS LÄN</t>
        </is>
      </c>
      <c r="G246" t="inlineStr">
        <is>
          <t>ALVESTA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45095</v>
      </c>
      <c r="E247" s="1" t="n">
        <v>46238</v>
      </c>
      <c r="F247" t="inlineStr">
        <is>
          <t>KRONOBERGS LÄN</t>
        </is>
      </c>
      <c r="G247" t="inlineStr">
        <is>
          <t>ALVESTA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45264</v>
      </c>
      <c r="E248" s="1" t="n">
        <v>46238</v>
      </c>
      <c r="F248" t="inlineStr">
        <is>
          <t>KRONOBERGS LÄN</t>
        </is>
      </c>
      <c r="G248" t="inlineStr">
        <is>
          <t>ALVESTA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46238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46238</v>
      </c>
      <c r="F250" t="inlineStr">
        <is>
          <t>KRONOBERGS LÄN</t>
        </is>
      </c>
      <c r="G250" t="inlineStr">
        <is>
          <t>ALVESTA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45563</v>
      </c>
      <c r="E251" s="1" t="n">
        <v>46238</v>
      </c>
      <c r="F251" t="inlineStr">
        <is>
          <t>KRONOBERGS LÄN</t>
        </is>
      </c>
      <c r="G251" t="inlineStr">
        <is>
          <t>ALVESTA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46129</v>
      </c>
      <c r="E252" s="1" t="n">
        <v>46238</v>
      </c>
      <c r="F252" t="inlineStr">
        <is>
          <t>KRONOBERGS LÄN</t>
        </is>
      </c>
      <c r="G252" t="inlineStr">
        <is>
          <t>ALVESTA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46238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46238</v>
      </c>
      <c r="F254" t="inlineStr">
        <is>
          <t>KRONOBERGS LÄN</t>
        </is>
      </c>
      <c r="G254" t="inlineStr">
        <is>
          <t>ALVESTA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46238</v>
      </c>
      <c r="F255" t="inlineStr">
        <is>
          <t>KRONOBERGS LÄN</t>
        </is>
      </c>
      <c r="G255" t="inlineStr">
        <is>
          <t>ALVESTA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46238</v>
      </c>
      <c r="F256" t="inlineStr">
        <is>
          <t>KRONOBERGS LÄN</t>
        </is>
      </c>
      <c r="G256" t="inlineStr">
        <is>
          <t>ALVESTA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46238</v>
      </c>
      <c r="F257" t="inlineStr">
        <is>
          <t>KRONOBERGS LÄN</t>
        </is>
      </c>
      <c r="G257" t="inlineStr">
        <is>
          <t>ALVESTA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45436</v>
      </c>
      <c r="E258" s="1" t="n">
        <v>46238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46238</v>
      </c>
      <c r="F259" t="inlineStr">
        <is>
          <t>KRONOBERGS LÄN</t>
        </is>
      </c>
      <c r="G259" t="inlineStr">
        <is>
          <t>ALVESTA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46238</v>
      </c>
      <c r="F260" t="inlineStr">
        <is>
          <t>KRONOBERGS LÄN</t>
        </is>
      </c>
      <c r="G260" t="inlineStr">
        <is>
          <t>ALVESTA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56552-2021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44480</v>
      </c>
      <c r="E261" s="1" t="n">
        <v>46238</v>
      </c>
      <c r="F261" t="inlineStr">
        <is>
          <t>KRONOBERGS LÄN</t>
        </is>
      </c>
      <c r="G261" t="inlineStr">
        <is>
          <t>ALVESTA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46238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44528-2025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45916</v>
      </c>
      <c r="E263" s="1" t="n">
        <v>46238</v>
      </c>
      <c r="F263" t="inlineStr">
        <is>
          <t>KRONOBERGS LÄN</t>
        </is>
      </c>
      <c r="G263" t="inlineStr">
        <is>
          <t>ALVESTA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46238</v>
      </c>
      <c r="F264" t="inlineStr">
        <is>
          <t>KRONOBERGS LÄN</t>
        </is>
      </c>
      <c r="G264" t="inlineStr">
        <is>
          <t>ALVESTA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46238</v>
      </c>
      <c r="F265" t="inlineStr">
        <is>
          <t>KRONOBERGS LÄN</t>
        </is>
      </c>
      <c r="G265" t="inlineStr">
        <is>
          <t>ALVESTA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46238</v>
      </c>
      <c r="F266" t="inlineStr">
        <is>
          <t>KRONOBERGS LÄN</t>
        </is>
      </c>
      <c r="G266" t="inlineStr">
        <is>
          <t>ALVESTA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46238</v>
      </c>
      <c r="F267" t="inlineStr">
        <is>
          <t>KRONOBERGS LÄN</t>
        </is>
      </c>
      <c r="G267" t="inlineStr">
        <is>
          <t>ALVESTA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46238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46238</v>
      </c>
      <c r="F269" t="inlineStr">
        <is>
          <t>KRONOBERGS LÄN</t>
        </is>
      </c>
      <c r="G269" t="inlineStr">
        <is>
          <t>ALVESTA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46238</v>
      </c>
      <c r="F270" t="inlineStr">
        <is>
          <t>KRONOBERGS LÄN</t>
        </is>
      </c>
      <c r="G270" t="inlineStr">
        <is>
          <t>ALVESTA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44670</v>
      </c>
      <c r="E271" s="1" t="n">
        <v>46238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45860</v>
      </c>
      <c r="E272" s="1" t="n">
        <v>46238</v>
      </c>
      <c r="F272" t="inlineStr">
        <is>
          <t>KRONOBERGS LÄN</t>
        </is>
      </c>
      <c r="G272" t="inlineStr">
        <is>
          <t>ALVESTA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46238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46238</v>
      </c>
      <c r="F274" t="inlineStr">
        <is>
          <t>KRONOBERGS LÄN</t>
        </is>
      </c>
      <c r="G274" t="inlineStr">
        <is>
          <t>ALVESTA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46238</v>
      </c>
      <c r="F275" t="inlineStr">
        <is>
          <t>KRONOBERGS LÄN</t>
        </is>
      </c>
      <c r="G275" t="inlineStr">
        <is>
          <t>ALVESTA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58641-2024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45635</v>
      </c>
      <c r="E276" s="1" t="n">
        <v>46238</v>
      </c>
      <c r="F276" t="inlineStr">
        <is>
          <t>KRONOBERGS LÄN</t>
        </is>
      </c>
      <c r="G276" t="inlineStr">
        <is>
          <t>ALVESTA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46238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46238</v>
      </c>
      <c r="F278" t="inlineStr">
        <is>
          <t>KRONOBERGS LÄN</t>
        </is>
      </c>
      <c r="G278" t="inlineStr">
        <is>
          <t>ALVESTA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46238</v>
      </c>
      <c r="F279" t="inlineStr">
        <is>
          <t>KRONOBERGS LÄN</t>
        </is>
      </c>
      <c r="G279" t="inlineStr">
        <is>
          <t>ALVESTA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46238</v>
      </c>
      <c r="F280" t="inlineStr">
        <is>
          <t>KRONOBERGS LÄN</t>
        </is>
      </c>
      <c r="G280" t="inlineStr">
        <is>
          <t>ALVESTA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46238</v>
      </c>
      <c r="F281" t="inlineStr">
        <is>
          <t>KRONOBERGS LÄN</t>
        </is>
      </c>
      <c r="G281" t="inlineStr">
        <is>
          <t>ALVESTA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45538</v>
      </c>
      <c r="E282" s="1" t="n">
        <v>46238</v>
      </c>
      <c r="F282" t="inlineStr">
        <is>
          <t>KRONOBERGS LÄN</t>
        </is>
      </c>
      <c r="G282" t="inlineStr">
        <is>
          <t>ALVESTA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46238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46238</v>
      </c>
      <c r="F284" t="inlineStr">
        <is>
          <t>KRONOBERGS LÄN</t>
        </is>
      </c>
      <c r="G284" t="inlineStr">
        <is>
          <t>ALVESTA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46238</v>
      </c>
      <c r="F285" t="inlineStr">
        <is>
          <t>KRONOBERGS LÄN</t>
        </is>
      </c>
      <c r="G285" t="inlineStr">
        <is>
          <t>ALVESTA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46238</v>
      </c>
      <c r="F286" t="inlineStr">
        <is>
          <t>KRONOBERGS LÄN</t>
        </is>
      </c>
      <c r="G286" t="inlineStr">
        <is>
          <t>ALVESTA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45407</v>
      </c>
      <c r="E287" s="1" t="n">
        <v>46238</v>
      </c>
      <c r="F287" t="inlineStr">
        <is>
          <t>KRONOBERGS LÄN</t>
        </is>
      </c>
      <c r="G287" t="inlineStr">
        <is>
          <t>ALVESTA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46238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46238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46238</v>
      </c>
      <c r="F290" t="inlineStr">
        <is>
          <t>KRONOBERGS LÄN</t>
        </is>
      </c>
      <c r="G290" t="inlineStr">
        <is>
          <t>ALVESTA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45471</v>
      </c>
      <c r="E291" s="1" t="n">
        <v>46238</v>
      </c>
      <c r="F291" t="inlineStr">
        <is>
          <t>KRONOBERGS LÄN</t>
        </is>
      </c>
      <c r="G291" t="inlineStr">
        <is>
          <t>ALVESTA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44951</v>
      </c>
      <c r="E292" s="1" t="n">
        <v>46238</v>
      </c>
      <c r="F292" t="inlineStr">
        <is>
          <t>KRONOBERGS LÄN</t>
        </is>
      </c>
      <c r="G292" t="inlineStr">
        <is>
          <t>ALVESTA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46238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46238</v>
      </c>
      <c r="F294" t="inlineStr">
        <is>
          <t>KRONOBERGS LÄN</t>
        </is>
      </c>
      <c r="G294" t="inlineStr">
        <is>
          <t>ALVESTA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46238</v>
      </c>
      <c r="F295" t="inlineStr">
        <is>
          <t>KRONOBERGS LÄN</t>
        </is>
      </c>
      <c r="G295" t="inlineStr">
        <is>
          <t>ALVESTA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45385</v>
      </c>
      <c r="E296" s="1" t="n">
        <v>46238</v>
      </c>
      <c r="F296" t="inlineStr">
        <is>
          <t>KRONOBERGS LÄN</t>
        </is>
      </c>
      <c r="G296" t="inlineStr">
        <is>
          <t>ALVESTA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46238</v>
      </c>
      <c r="F297" t="inlineStr">
        <is>
          <t>KRONOBERGS LÄN</t>
        </is>
      </c>
      <c r="G297" t="inlineStr">
        <is>
          <t>ALVESTA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29133-2023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45105</v>
      </c>
      <c r="E298" s="1" t="n">
        <v>46238</v>
      </c>
      <c r="F298" t="inlineStr">
        <is>
          <t>KRONOBERGS LÄN</t>
        </is>
      </c>
      <c r="G298" t="inlineStr">
        <is>
          <t>ALVESTA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46238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46238</v>
      </c>
      <c r="F300" t="inlineStr">
        <is>
          <t>KRONOBERGS LÄN</t>
        </is>
      </c>
      <c r="G300" t="inlineStr">
        <is>
          <t>ALVESTA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46238</v>
      </c>
      <c r="F301" t="inlineStr">
        <is>
          <t>KRONOBERGS LÄN</t>
        </is>
      </c>
      <c r="G301" t="inlineStr">
        <is>
          <t>ALVESTA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38875-2022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44816</v>
      </c>
      <c r="E302" s="1" t="n">
        <v>46238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46238</v>
      </c>
      <c r="F303" t="inlineStr">
        <is>
          <t>KRONOBERGS LÄN</t>
        </is>
      </c>
      <c r="G303" t="inlineStr">
        <is>
          <t>ALVESTA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46238</v>
      </c>
      <c r="F304" t="inlineStr">
        <is>
          <t>KRONOBERGS LÄN</t>
        </is>
      </c>
      <c r="G304" t="inlineStr">
        <is>
          <t>ALVESTA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46238</v>
      </c>
      <c r="F305" t="inlineStr">
        <is>
          <t>KRONOBERGS LÄN</t>
        </is>
      </c>
      <c r="G305" t="inlineStr">
        <is>
          <t>ALVESTA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46238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45336</v>
      </c>
      <c r="E307" s="1" t="n">
        <v>46238</v>
      </c>
      <c r="F307" t="inlineStr">
        <is>
          <t>KRONOBERGS LÄN</t>
        </is>
      </c>
      <c r="G307" t="inlineStr">
        <is>
          <t>ALVESTA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46238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46238</v>
      </c>
      <c r="F309" t="inlineStr">
        <is>
          <t>KRONOBERGS LÄN</t>
        </is>
      </c>
      <c r="G309" t="inlineStr">
        <is>
          <t>ALVESTA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45482</v>
      </c>
      <c r="E310" s="1" t="n">
        <v>46238</v>
      </c>
      <c r="F310" t="inlineStr">
        <is>
          <t>KRONOBERGS LÄN</t>
        </is>
      </c>
      <c r="G310" t="inlineStr">
        <is>
          <t>ALVESTA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46238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46238</v>
      </c>
      <c r="F312" t="inlineStr">
        <is>
          <t>KRONOBERGS LÄN</t>
        </is>
      </c>
      <c r="G312" t="inlineStr">
        <is>
          <t>ALVESTA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46238</v>
      </c>
      <c r="F313" t="inlineStr">
        <is>
          <t>KRONOBERGS LÄN</t>
        </is>
      </c>
      <c r="G313" t="inlineStr">
        <is>
          <t>ALVESTA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46139</v>
      </c>
      <c r="E314" s="1" t="n">
        <v>46238</v>
      </c>
      <c r="F314" t="inlineStr">
        <is>
          <t>KRONOBERGS LÄN</t>
        </is>
      </c>
      <c r="G314" t="inlineStr">
        <is>
          <t>ALVESTA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46238</v>
      </c>
      <c r="F315" t="inlineStr">
        <is>
          <t>KRONOBERGS LÄN</t>
        </is>
      </c>
      <c r="G315" t="inlineStr">
        <is>
          <t>ALVESTA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46238</v>
      </c>
      <c r="F316" t="inlineStr">
        <is>
          <t>KRONOBERGS LÄN</t>
        </is>
      </c>
      <c r="G316" t="inlineStr">
        <is>
          <t>ALVESTA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46238</v>
      </c>
      <c r="F317" t="inlineStr">
        <is>
          <t>KRONOBERGS LÄN</t>
        </is>
      </c>
      <c r="G317" t="inlineStr">
        <is>
          <t>ALVESTA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46238</v>
      </c>
      <c r="F318" t="inlineStr">
        <is>
          <t>KRONOBERGS LÄN</t>
        </is>
      </c>
      <c r="G318" t="inlineStr">
        <is>
          <t>ALVESTA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46238</v>
      </c>
      <c r="F319" t="inlineStr">
        <is>
          <t>KRONOBERGS LÄN</t>
        </is>
      </c>
      <c r="G319" t="inlineStr">
        <is>
          <t>ALVESTA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45512</v>
      </c>
      <c r="E320" s="1" t="n">
        <v>46238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46238</v>
      </c>
      <c r="F321" t="inlineStr">
        <is>
          <t>KRONOBERGS LÄN</t>
        </is>
      </c>
      <c r="G321" t="inlineStr">
        <is>
          <t>ALVESTA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46238</v>
      </c>
      <c r="F322" t="inlineStr">
        <is>
          <t>KRONOBERGS LÄN</t>
        </is>
      </c>
      <c r="G322" t="inlineStr">
        <is>
          <t>ALVESTA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45356</v>
      </c>
      <c r="E323" s="1" t="n">
        <v>46238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46238</v>
      </c>
      <c r="F324" t="inlineStr">
        <is>
          <t>KRONOBERGS LÄN</t>
        </is>
      </c>
      <c r="G324" t="inlineStr">
        <is>
          <t>ALVESTA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54667-2022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44881</v>
      </c>
      <c r="E325" s="1" t="n">
        <v>46238</v>
      </c>
      <c r="F325" t="inlineStr">
        <is>
          <t>KRONOBERGS LÄN</t>
        </is>
      </c>
      <c r="G325" t="inlineStr">
        <is>
          <t>ALVESTA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46238</v>
      </c>
      <c r="F326" t="inlineStr">
        <is>
          <t>KRONOBERGS LÄN</t>
        </is>
      </c>
      <c r="G326" t="inlineStr">
        <is>
          <t>ALVESTA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46238</v>
      </c>
      <c r="F327" t="inlineStr">
        <is>
          <t>KRONOBERGS LÄN</t>
        </is>
      </c>
      <c r="G327" t="inlineStr">
        <is>
          <t>ALVESTA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46238</v>
      </c>
      <c r="F328" t="inlineStr">
        <is>
          <t>KRONOBERGS LÄN</t>
        </is>
      </c>
      <c r="G328" t="inlineStr">
        <is>
          <t>ALVESTA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46238</v>
      </c>
      <c r="F329" t="inlineStr">
        <is>
          <t>KRONOBERGS LÄN</t>
        </is>
      </c>
      <c r="G329" t="inlineStr">
        <is>
          <t>ALVESTA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46238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45075</v>
      </c>
      <c r="E331" s="1" t="n">
        <v>46238</v>
      </c>
      <c r="F331" t="inlineStr">
        <is>
          <t>KRONOBERGS LÄN</t>
        </is>
      </c>
      <c r="G331" t="inlineStr">
        <is>
          <t>ALVESTA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46238</v>
      </c>
      <c r="F332" t="inlineStr">
        <is>
          <t>KRONOBERGS LÄN</t>
        </is>
      </c>
      <c r="G332" t="inlineStr">
        <is>
          <t>ALVESTA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46238</v>
      </c>
      <c r="F333" t="inlineStr">
        <is>
          <t>KRONOBERGS LÄN</t>
        </is>
      </c>
      <c r="G333" t="inlineStr">
        <is>
          <t>ALVESTA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44978</v>
      </c>
      <c r="E334" s="1" t="n">
        <v>46238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46238</v>
      </c>
      <c r="F335" t="inlineStr">
        <is>
          <t>KRONOBERGS LÄN</t>
        </is>
      </c>
      <c r="G335" t="inlineStr">
        <is>
          <t>ALVESTA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46238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45418</v>
      </c>
      <c r="E337" s="1" t="n">
        <v>46238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46238</v>
      </c>
      <c r="F338" t="inlineStr">
        <is>
          <t>KRONOBERGS LÄN</t>
        </is>
      </c>
      <c r="G338" t="inlineStr">
        <is>
          <t>ALVESTA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46238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57307-2025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46238</v>
      </c>
      <c r="F340" t="inlineStr">
        <is>
          <t>KRONOBERGS LÄN</t>
        </is>
      </c>
      <c r="G340" t="inlineStr">
        <is>
          <t>ALVESTA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46238</v>
      </c>
      <c r="F341" t="inlineStr">
        <is>
          <t>KRONOBERGS LÄN</t>
        </is>
      </c>
      <c r="G341" t="inlineStr">
        <is>
          <t>ALVESTA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46238</v>
      </c>
      <c r="F342" t="inlineStr">
        <is>
          <t>KRONOBERGS LÄN</t>
        </is>
      </c>
      <c r="G342" t="inlineStr">
        <is>
          <t>ALVESTA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45858</v>
      </c>
      <c r="E343" s="1" t="n">
        <v>46238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46136</v>
      </c>
      <c r="E344" s="1" t="n">
        <v>46238</v>
      </c>
      <c r="F344" t="inlineStr">
        <is>
          <t>KRONOBERGS LÄN</t>
        </is>
      </c>
      <c r="G344" t="inlineStr">
        <is>
          <t>ALVESTA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45296</v>
      </c>
      <c r="E345" s="1" t="n">
        <v>46238</v>
      </c>
      <c r="F345" t="inlineStr">
        <is>
          <t>KRONOBERGS LÄN</t>
        </is>
      </c>
      <c r="G345" t="inlineStr">
        <is>
          <t>ALVESTA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46238</v>
      </c>
      <c r="F346" t="inlineStr">
        <is>
          <t>KRONOBERGS LÄN</t>
        </is>
      </c>
      <c r="G346" t="inlineStr">
        <is>
          <t>ALVESTA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45436</v>
      </c>
      <c r="E347" s="1" t="n">
        <v>46238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46238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45418</v>
      </c>
      <c r="E349" s="1" t="n">
        <v>46238</v>
      </c>
      <c r="F349" t="inlineStr">
        <is>
          <t>KRONOBERGS LÄN</t>
        </is>
      </c>
      <c r="G349" t="inlineStr">
        <is>
          <t>ALVESTA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46238</v>
      </c>
      <c r="F350" t="inlineStr">
        <is>
          <t>KRONOBERGS LÄN</t>
        </is>
      </c>
      <c r="G350" t="inlineStr">
        <is>
          <t>ALVESTA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46238</v>
      </c>
      <c r="F351" t="inlineStr">
        <is>
          <t>KRONOBERGS LÄN</t>
        </is>
      </c>
      <c r="G351" t="inlineStr">
        <is>
          <t>ALVESTA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46238</v>
      </c>
      <c r="F352" t="inlineStr">
        <is>
          <t>KRONOBERGS LÄN</t>
        </is>
      </c>
      <c r="G352" t="inlineStr">
        <is>
          <t>ALVESTA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46238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46238</v>
      </c>
      <c r="F354" t="inlineStr">
        <is>
          <t>KRONOBERGS LÄN</t>
        </is>
      </c>
      <c r="G354" t="inlineStr">
        <is>
          <t>ALVESTA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46238</v>
      </c>
      <c r="F355" t="inlineStr">
        <is>
          <t>KRONOBERGS LÄN</t>
        </is>
      </c>
      <c r="G355" t="inlineStr">
        <is>
          <t>ALVESTA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65092-2023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45288</v>
      </c>
      <c r="E356" s="1" t="n">
        <v>46238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46238</v>
      </c>
      <c r="F357" t="inlineStr">
        <is>
          <t>KRONOBERGS LÄN</t>
        </is>
      </c>
      <c r="G357" t="inlineStr">
        <is>
          <t>ALVESTA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46238</v>
      </c>
      <c r="F358" t="inlineStr">
        <is>
          <t>KRONOBERGS LÄN</t>
        </is>
      </c>
      <c r="G358" t="inlineStr">
        <is>
          <t>ALVESTA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47885-2023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45198</v>
      </c>
      <c r="E359" s="1" t="n">
        <v>46238</v>
      </c>
      <c r="F359" t="inlineStr">
        <is>
          <t>KRONOBERGS LÄN</t>
        </is>
      </c>
      <c r="G359" t="inlineStr">
        <is>
          <t>ALVESTA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46238</v>
      </c>
      <c r="F360" t="inlineStr">
        <is>
          <t>KRONOBERGS LÄN</t>
        </is>
      </c>
      <c r="G360" t="inlineStr">
        <is>
          <t>ALVESTA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9391-2024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45359</v>
      </c>
      <c r="E361" s="1" t="n">
        <v>46238</v>
      </c>
      <c r="F361" t="inlineStr">
        <is>
          <t>KRONOBERGS LÄN</t>
        </is>
      </c>
      <c r="G361" t="inlineStr">
        <is>
          <t>ALVESTA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45996</v>
      </c>
      <c r="E362" s="1" t="n">
        <v>46238</v>
      </c>
      <c r="F362" t="inlineStr">
        <is>
          <t>KRONOBERGS LÄN</t>
        </is>
      </c>
      <c r="G362" t="inlineStr">
        <is>
          <t>ALVESTA</t>
        </is>
      </c>
      <c r="H362" t="inlineStr">
        <is>
          <t>Kyrkan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60700-2025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45996</v>
      </c>
      <c r="E363" s="1" t="n">
        <v>46238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45840</v>
      </c>
      <c r="E364" s="1" t="n">
        <v>46238</v>
      </c>
      <c r="F364" t="inlineStr">
        <is>
          <t>KRONOBERGS LÄN</t>
        </is>
      </c>
      <c r="G364" t="inlineStr">
        <is>
          <t>ALVESTA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46238</v>
      </c>
      <c r="F365" t="inlineStr">
        <is>
          <t>KRONOBERGS LÄN</t>
        </is>
      </c>
      <c r="G365" t="inlineStr">
        <is>
          <t>ALVESTA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46238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28529-2024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45478</v>
      </c>
      <c r="E367" s="1" t="n">
        <v>46238</v>
      </c>
      <c r="F367" t="inlineStr">
        <is>
          <t>KRONOBERGS LÄN</t>
        </is>
      </c>
      <c r="G367" t="inlineStr">
        <is>
          <t>ALVESTA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9649-2024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45362</v>
      </c>
      <c r="E368" s="1" t="n">
        <v>46238</v>
      </c>
      <c r="F368" t="inlineStr">
        <is>
          <t>KRONOBERGS LÄN</t>
        </is>
      </c>
      <c r="G368" t="inlineStr">
        <is>
          <t>ALVESTA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45698</v>
      </c>
      <c r="E369" s="1" t="n">
        <v>46238</v>
      </c>
      <c r="F369" t="inlineStr">
        <is>
          <t>KRONOBERGS LÄN</t>
        </is>
      </c>
      <c r="G369" t="inlineStr">
        <is>
          <t>ALVESTA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45436</v>
      </c>
      <c r="E370" s="1" t="n">
        <v>46238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44635</v>
      </c>
      <c r="E371" s="1" t="n">
        <v>46238</v>
      </c>
      <c r="F371" t="inlineStr">
        <is>
          <t>KRONOBERGS LÄN</t>
        </is>
      </c>
      <c r="G371" t="inlineStr">
        <is>
          <t>ALVESTA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46238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62744-2025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46238</v>
      </c>
      <c r="F373" t="inlineStr">
        <is>
          <t>KRONOBERGS LÄN</t>
        </is>
      </c>
      <c r="G373" t="inlineStr">
        <is>
          <t>ALVESTA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45136</v>
      </c>
      <c r="E374" s="1" t="n">
        <v>46238</v>
      </c>
      <c r="F374" t="inlineStr">
        <is>
          <t>KRONOBERGS LÄN</t>
        </is>
      </c>
      <c r="G374" t="inlineStr">
        <is>
          <t>ALVESTA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45722</v>
      </c>
      <c r="E375" s="1" t="n">
        <v>46238</v>
      </c>
      <c r="F375" t="inlineStr">
        <is>
          <t>KRONOBERGS LÄN</t>
        </is>
      </c>
      <c r="G375" t="inlineStr">
        <is>
          <t>ALVESTA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46238</v>
      </c>
      <c r="F376" t="inlineStr">
        <is>
          <t>KRONOBERGS LÄN</t>
        </is>
      </c>
      <c r="G376" t="inlineStr">
        <is>
          <t>ALVESTA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45320</v>
      </c>
      <c r="E377" s="1" t="n">
        <v>46238</v>
      </c>
      <c r="F377" t="inlineStr">
        <is>
          <t>KRONOBERGS LÄN</t>
        </is>
      </c>
      <c r="G377" t="inlineStr">
        <is>
          <t>ALVESTA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46238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46238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14969-2022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44657</v>
      </c>
      <c r="E380" s="1" t="n">
        <v>46238</v>
      </c>
      <c r="F380" t="inlineStr">
        <is>
          <t>KRONOBERGS LÄN</t>
        </is>
      </c>
      <c r="G380" t="inlineStr">
        <is>
          <t>ALVESTA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44914</v>
      </c>
      <c r="E381" s="1" t="n">
        <v>46238</v>
      </c>
      <c r="F381" t="inlineStr">
        <is>
          <t>KRONOBERGS LÄN</t>
        </is>
      </c>
      <c r="G381" t="inlineStr">
        <is>
          <t>ALVESTA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45128</v>
      </c>
      <c r="E382" s="1" t="n">
        <v>46238</v>
      </c>
      <c r="F382" t="inlineStr">
        <is>
          <t>KRONOBERGS LÄN</t>
        </is>
      </c>
      <c r="G382" t="inlineStr">
        <is>
          <t>ALVESTA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46238</v>
      </c>
      <c r="F383" t="inlineStr">
        <is>
          <t>KRONOBERGS LÄN</t>
        </is>
      </c>
      <c r="G383" t="inlineStr">
        <is>
          <t>ALVESTA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46238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46238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46238</v>
      </c>
      <c r="F386" t="inlineStr">
        <is>
          <t>KRONOBERGS LÄN</t>
        </is>
      </c>
      <c r="G386" t="inlineStr">
        <is>
          <t>ALVESTA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46448-2021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44445</v>
      </c>
      <c r="E387" s="1" t="n">
        <v>46238</v>
      </c>
      <c r="F387" t="inlineStr">
        <is>
          <t>KRONOBERGS LÄN</t>
        </is>
      </c>
      <c r="G387" t="inlineStr">
        <is>
          <t>ALVESTA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58648-2024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45635</v>
      </c>
      <c r="E388" s="1" t="n">
        <v>46238</v>
      </c>
      <c r="F388" t="inlineStr">
        <is>
          <t>KRONOBERGS LÄN</t>
        </is>
      </c>
      <c r="G388" t="inlineStr">
        <is>
          <t>ALVESTA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45338</v>
      </c>
      <c r="E389" s="1" t="n">
        <v>46238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45699</v>
      </c>
      <c r="E390" s="1" t="n">
        <v>46238</v>
      </c>
      <c r="F390" t="inlineStr">
        <is>
          <t>KRONOBERGS LÄN</t>
        </is>
      </c>
      <c r="G390" t="inlineStr">
        <is>
          <t>ALVESTA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46238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46238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46238</v>
      </c>
      <c r="F393" t="inlineStr">
        <is>
          <t>KRONOBERGS LÄN</t>
        </is>
      </c>
      <c r="G393" t="inlineStr">
        <is>
          <t>ALVESTA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10577-2024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45366</v>
      </c>
      <c r="E394" s="1" t="n">
        <v>46238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46238</v>
      </c>
      <c r="F395" t="inlineStr">
        <is>
          <t>KRONOBERGS LÄN</t>
        </is>
      </c>
      <c r="G395" t="inlineStr">
        <is>
          <t>ALVESTA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46238</v>
      </c>
      <c r="F396" t="inlineStr">
        <is>
          <t>KRONOBERGS LÄN</t>
        </is>
      </c>
      <c r="G396" t="inlineStr">
        <is>
          <t>ALVESTA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46238</v>
      </c>
      <c r="F397" t="inlineStr">
        <is>
          <t>KRONOBERGS LÄN</t>
        </is>
      </c>
      <c r="G397" t="inlineStr">
        <is>
          <t>ALVESTA</t>
        </is>
      </c>
      <c r="H397" t="inlineStr">
        <is>
          <t>Kyrkan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46238</v>
      </c>
      <c r="F398" t="inlineStr">
        <is>
          <t>KRONOBERGS LÄN</t>
        </is>
      </c>
      <c r="G398" t="inlineStr">
        <is>
          <t>ALVESTA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46238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45267</v>
      </c>
      <c r="E400" s="1" t="n">
        <v>46238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44873</v>
      </c>
      <c r="E401" s="1" t="n">
        <v>46238</v>
      </c>
      <c r="F401" t="inlineStr">
        <is>
          <t>KRONOBERGS LÄN</t>
        </is>
      </c>
      <c r="G401" t="inlineStr">
        <is>
          <t>ALVESTA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46238</v>
      </c>
      <c r="F402" t="inlineStr">
        <is>
          <t>KRONOBERGS LÄN</t>
        </is>
      </c>
      <c r="G402" t="inlineStr">
        <is>
          <t>ALVESTA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46238</v>
      </c>
      <c r="F403" t="inlineStr">
        <is>
          <t>KRONOBERGS LÄN</t>
        </is>
      </c>
      <c r="G403" t="inlineStr">
        <is>
          <t>ALVESTA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46238</v>
      </c>
      <c r="F404" t="inlineStr">
        <is>
          <t>KRONOBERGS LÄN</t>
        </is>
      </c>
      <c r="G404" t="inlineStr">
        <is>
          <t>ALVESTA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46238</v>
      </c>
      <c r="F405" t="inlineStr">
        <is>
          <t>KRONOBERGS LÄN</t>
        </is>
      </c>
      <c r="G405" t="inlineStr">
        <is>
          <t>ALVESTA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45135</v>
      </c>
      <c r="E406" s="1" t="n">
        <v>46238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25945-2023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46238</v>
      </c>
      <c r="F407" t="inlineStr">
        <is>
          <t>KRONOBERGS LÄN</t>
        </is>
      </c>
      <c r="G407" t="inlineStr">
        <is>
          <t>ALVESTA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46238</v>
      </c>
      <c r="F408" t="inlineStr">
        <is>
          <t>KRONOBERGS LÄN</t>
        </is>
      </c>
      <c r="G408" t="inlineStr">
        <is>
          <t>ALVESTA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44487-2021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44435</v>
      </c>
      <c r="E409" s="1" t="n">
        <v>46238</v>
      </c>
      <c r="F409" t="inlineStr">
        <is>
          <t>KRONOBERGS LÄN</t>
        </is>
      </c>
      <c r="G409" t="inlineStr">
        <is>
          <t>ALVESTA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45236</v>
      </c>
      <c r="E410" s="1" t="n">
        <v>46238</v>
      </c>
      <c r="F410" t="inlineStr">
        <is>
          <t>KRONOBERGS LÄN</t>
        </is>
      </c>
      <c r="G410" t="inlineStr">
        <is>
          <t>ALVESTA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45728</v>
      </c>
      <c r="E411" s="1" t="n">
        <v>46238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8320-2026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46238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36750-2022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46238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52110-2024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46238</v>
      </c>
      <c r="F414" t="inlineStr">
        <is>
          <t>KRONOBERGS LÄN</t>
        </is>
      </c>
      <c r="G414" t="inlineStr">
        <is>
          <t>ALVESTA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46238</v>
      </c>
      <c r="F415" t="inlineStr">
        <is>
          <t>KRONOBERGS LÄN</t>
        </is>
      </c>
      <c r="G415" t="inlineStr">
        <is>
          <t>ALVESTA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46238</v>
      </c>
      <c r="F416" t="inlineStr">
        <is>
          <t>KRONOBERGS LÄN</t>
        </is>
      </c>
      <c r="G416" t="inlineStr">
        <is>
          <t>ALVESTA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46238</v>
      </c>
      <c r="F417" t="inlineStr">
        <is>
          <t>KRONOBERGS LÄN</t>
        </is>
      </c>
      <c r="G417" t="inlineStr">
        <is>
          <t>ALVESTA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45254</v>
      </c>
      <c r="E418" s="1" t="n">
        <v>46238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46238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45349</v>
      </c>
      <c r="E420" s="1" t="n">
        <v>46238</v>
      </c>
      <c r="F420" t="inlineStr">
        <is>
          <t>KRONOBERGS LÄN</t>
        </is>
      </c>
      <c r="G420" t="inlineStr">
        <is>
          <t>ALVESTA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46238</v>
      </c>
      <c r="F421" t="inlineStr">
        <is>
          <t>KRONOBERGS LÄN</t>
        </is>
      </c>
      <c r="G421" t="inlineStr">
        <is>
          <t>ALVESTA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11331-2026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46081</v>
      </c>
      <c r="E422" s="1" t="n">
        <v>46238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46084</v>
      </c>
      <c r="E423" s="1" t="n">
        <v>46238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46238</v>
      </c>
      <c r="F424" t="inlineStr">
        <is>
          <t>KRONOBERGS LÄN</t>
        </is>
      </c>
      <c r="G424" t="inlineStr">
        <is>
          <t>ALVESTA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45896</v>
      </c>
      <c r="E425" s="1" t="n">
        <v>46238</v>
      </c>
      <c r="F425" t="inlineStr">
        <is>
          <t>KRONOBERGS LÄN</t>
        </is>
      </c>
      <c r="G425" t="inlineStr">
        <is>
          <t>ALVESTA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56589-2022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44893</v>
      </c>
      <c r="E426" s="1" t="n">
        <v>46238</v>
      </c>
      <c r="F426" t="inlineStr">
        <is>
          <t>KRONOBERGS LÄN</t>
        </is>
      </c>
      <c r="G426" t="inlineStr">
        <is>
          <t>ALVESTA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45854</v>
      </c>
      <c r="E427" s="1" t="n">
        <v>46238</v>
      </c>
      <c r="F427" t="inlineStr">
        <is>
          <t>KRONOBERGS LÄN</t>
        </is>
      </c>
      <c r="G427" t="inlineStr">
        <is>
          <t>ALVESTA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12818-2025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45733</v>
      </c>
      <c r="E428" s="1" t="n">
        <v>46238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46238</v>
      </c>
      <c r="F429" t="inlineStr">
        <is>
          <t>KRONOBERGS LÄN</t>
        </is>
      </c>
      <c r="G429" t="inlineStr">
        <is>
          <t>ALVESTA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12258-2026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46087</v>
      </c>
      <c r="E430" s="1" t="n">
        <v>46238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46203</v>
      </c>
      <c r="E431" s="1" t="n">
        <v>46238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45959</v>
      </c>
      <c r="E432" s="1" t="n">
        <v>46238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46238</v>
      </c>
      <c r="F433" t="inlineStr">
        <is>
          <t>KRONOBERGS LÄN</t>
        </is>
      </c>
      <c r="G433" t="inlineStr">
        <is>
          <t>ALVESTA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46238</v>
      </c>
      <c r="F434" t="inlineStr">
        <is>
          <t>KRONOBERGS LÄN</t>
        </is>
      </c>
      <c r="G434" t="inlineStr">
        <is>
          <t>ALVESTA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46238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46238</v>
      </c>
      <c r="F436" t="inlineStr">
        <is>
          <t>KRONOBERGS LÄN</t>
        </is>
      </c>
      <c r="G436" t="inlineStr">
        <is>
          <t>ALVESTA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42905-2023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46238</v>
      </c>
      <c r="F437" t="inlineStr">
        <is>
          <t>KRONOBERGS LÄN</t>
        </is>
      </c>
      <c r="G437" t="inlineStr">
        <is>
          <t>ALVESTA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45476</v>
      </c>
      <c r="E438" s="1" t="n">
        <v>46238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13810-2026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46238</v>
      </c>
      <c r="F439" t="inlineStr">
        <is>
          <t>KRONOBERGS LÄN</t>
        </is>
      </c>
      <c r="G439" t="inlineStr">
        <is>
          <t>ALVESTA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46238</v>
      </c>
      <c r="F440" t="inlineStr">
        <is>
          <t>KRONOBERGS LÄN</t>
        </is>
      </c>
      <c r="G440" t="inlineStr">
        <is>
          <t>ALVESTA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39263-2023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45166</v>
      </c>
      <c r="E441" s="1" t="n">
        <v>46238</v>
      </c>
      <c r="F441" t="inlineStr">
        <is>
          <t>KRONOBERGS LÄN</t>
        </is>
      </c>
      <c r="G441" t="inlineStr">
        <is>
          <t>ALVESTA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46238</v>
      </c>
      <c r="F442" t="inlineStr">
        <is>
          <t>KRONOBERGS LÄN</t>
        </is>
      </c>
      <c r="G442" t="inlineStr">
        <is>
          <t>ALVESTA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46238</v>
      </c>
      <c r="F443" t="inlineStr">
        <is>
          <t>KRONOBERGS LÄN</t>
        </is>
      </c>
      <c r="G443" t="inlineStr">
        <is>
          <t>ALVESTA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46238</v>
      </c>
      <c r="F444" t="inlineStr">
        <is>
          <t>KRONOBERGS LÄN</t>
        </is>
      </c>
      <c r="G444" t="inlineStr">
        <is>
          <t>ALVESTA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46238</v>
      </c>
      <c r="F445" t="inlineStr">
        <is>
          <t>KRONOBERGS LÄN</t>
        </is>
      </c>
      <c r="G445" t="inlineStr">
        <is>
          <t>ALVESTA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46238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46238</v>
      </c>
      <c r="F447" t="inlineStr">
        <is>
          <t>KRONOBERGS LÄN</t>
        </is>
      </c>
      <c r="G447" t="inlineStr">
        <is>
          <t>ALVESTA</t>
        </is>
      </c>
      <c r="H447" t="inlineStr">
        <is>
          <t>Övriga Aktiebolag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23622-2026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46238</v>
      </c>
      <c r="F448" t="inlineStr">
        <is>
          <t>KRONOBERGS LÄN</t>
        </is>
      </c>
      <c r="G448" t="inlineStr">
        <is>
          <t>ALVESTA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44935</v>
      </c>
      <c r="E449" s="1" t="n">
        <v>46238</v>
      </c>
      <c r="F449" t="inlineStr">
        <is>
          <t>KRONOBERGS LÄN</t>
        </is>
      </c>
      <c r="G449" t="inlineStr">
        <is>
          <t>ALVESTA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26621-2022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46238</v>
      </c>
      <c r="F450" t="inlineStr">
        <is>
          <t>KRONOBERGS LÄN</t>
        </is>
      </c>
      <c r="G450" t="inlineStr">
        <is>
          <t>ALVESTA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45155</v>
      </c>
      <c r="E451" s="1" t="n">
        <v>46238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46238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46238</v>
      </c>
      <c r="F453" t="inlineStr">
        <is>
          <t>KRONOBERGS LÄN</t>
        </is>
      </c>
      <c r="G453" t="inlineStr">
        <is>
          <t>ALVESTA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10198-2025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45719</v>
      </c>
      <c r="E454" s="1" t="n">
        <v>46238</v>
      </c>
      <c r="F454" t="inlineStr">
        <is>
          <t>KRONOBERGS LÄN</t>
        </is>
      </c>
      <c r="G454" t="inlineStr">
        <is>
          <t>ALVESTA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46238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46238</v>
      </c>
      <c r="F456" t="inlineStr">
        <is>
          <t>KRONOBERGS LÄN</t>
        </is>
      </c>
      <c r="G456" t="inlineStr">
        <is>
          <t>ALVESTA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45005</v>
      </c>
      <c r="E457" s="1" t="n">
        <v>46238</v>
      </c>
      <c r="F457" t="inlineStr">
        <is>
          <t>KRONOBERGS LÄN</t>
        </is>
      </c>
      <c r="G457" t="inlineStr">
        <is>
          <t>ALVESTA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50976-2023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45218</v>
      </c>
      <c r="E458" s="1" t="n">
        <v>46238</v>
      </c>
      <c r="F458" t="inlineStr">
        <is>
          <t>KRONOBERGS LÄN</t>
        </is>
      </c>
      <c r="G458" t="inlineStr">
        <is>
          <t>ALVESTA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46238</v>
      </c>
      <c r="F459" t="inlineStr">
        <is>
          <t>KRONOBERGS LÄN</t>
        </is>
      </c>
      <c r="G459" t="inlineStr">
        <is>
          <t>ALVESTA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44991</v>
      </c>
      <c r="E460" s="1" t="n">
        <v>46238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44868</v>
      </c>
      <c r="E461" s="1" t="n">
        <v>46238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6479-2022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44601</v>
      </c>
      <c r="E462" s="1" t="n">
        <v>46238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46238</v>
      </c>
      <c r="F463" t="inlineStr">
        <is>
          <t>KRONOBERGS LÄN</t>
        </is>
      </c>
      <c r="G463" t="inlineStr">
        <is>
          <t>ALVESTA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45426</v>
      </c>
      <c r="E464" s="1" t="n">
        <v>46238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21987-2023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45068</v>
      </c>
      <c r="E465" s="1" t="n">
        <v>46238</v>
      </c>
      <c r="F465" t="inlineStr">
        <is>
          <t>KRONOBERGS LÄN</t>
        </is>
      </c>
      <c r="G465" t="inlineStr">
        <is>
          <t>ALVESTA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46238</v>
      </c>
      <c r="F466" t="inlineStr">
        <is>
          <t>KRONOBERGS LÄN</t>
        </is>
      </c>
      <c r="G466" t="inlineStr">
        <is>
          <t>ALVESTA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53458-2024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45614</v>
      </c>
      <c r="E467" s="1" t="n">
        <v>46238</v>
      </c>
      <c r="F467" t="inlineStr">
        <is>
          <t>KRONOBERGS LÄN</t>
        </is>
      </c>
      <c r="G467" t="inlineStr">
        <is>
          <t>ALVESTA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53459-2024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45614</v>
      </c>
      <c r="E468" s="1" t="n">
        <v>46238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24419-2026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46169</v>
      </c>
      <c r="E469" s="1" t="n">
        <v>46238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46238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45305</v>
      </c>
      <c r="E471" s="1" t="n">
        <v>46238</v>
      </c>
      <c r="F471" t="inlineStr">
        <is>
          <t>KRONOBERGS LÄN</t>
        </is>
      </c>
      <c r="G471" t="inlineStr">
        <is>
          <t>ALVESTA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24420-2026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46169</v>
      </c>
      <c r="E472" s="1" t="n">
        <v>46238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46238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46238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46238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46238</v>
      </c>
      <c r="F476" t="inlineStr">
        <is>
          <t>KRONOBERGS LÄN</t>
        </is>
      </c>
      <c r="G476" t="inlineStr">
        <is>
          <t>ALVESTA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46238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45613</v>
      </c>
      <c r="E478" s="1" t="n">
        <v>46238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45547</v>
      </c>
      <c r="E479" s="1" t="n">
        <v>46238</v>
      </c>
      <c r="F479" t="inlineStr">
        <is>
          <t>KRONOBERGS LÄN</t>
        </is>
      </c>
      <c r="G479" t="inlineStr">
        <is>
          <t>ALVESTA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25609-2026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46238</v>
      </c>
      <c r="F480" t="inlineStr">
        <is>
          <t>KRONOBERGS LÄN</t>
        </is>
      </c>
      <c r="G480" t="inlineStr">
        <is>
          <t>ALVESTA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46238</v>
      </c>
      <c r="F481" t="inlineStr">
        <is>
          <t>KRONOBERGS LÄN</t>
        </is>
      </c>
      <c r="G481" t="inlineStr">
        <is>
          <t>ALVESTA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24692-2026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46171</v>
      </c>
      <c r="E482" s="1" t="n">
        <v>46238</v>
      </c>
      <c r="F482" t="inlineStr">
        <is>
          <t>KRONOBERGS LÄN</t>
        </is>
      </c>
      <c r="G482" t="inlineStr">
        <is>
          <t>ALVESTA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44998</v>
      </c>
      <c r="E483" s="1" t="n">
        <v>46238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46238</v>
      </c>
      <c r="F484" t="inlineStr">
        <is>
          <t>KRONOBERGS LÄN</t>
        </is>
      </c>
      <c r="G484" t="inlineStr">
        <is>
          <t>ALVESTA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44943</v>
      </c>
      <c r="E485" s="1" t="n">
        <v>46238</v>
      </c>
      <c r="F485" t="inlineStr">
        <is>
          <t>KRONOBERGS LÄN</t>
        </is>
      </c>
      <c r="G485" t="inlineStr">
        <is>
          <t>ALVESTA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9687-2024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45362</v>
      </c>
      <c r="E486" s="1" t="n">
        <v>46238</v>
      </c>
      <c r="F486" t="inlineStr">
        <is>
          <t>KRONOBERGS LÄN</t>
        </is>
      </c>
      <c r="G486" t="inlineStr">
        <is>
          <t>ALVESTA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60770-2024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45644</v>
      </c>
      <c r="E487" s="1" t="n">
        <v>46238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46238</v>
      </c>
      <c r="F488" t="inlineStr">
        <is>
          <t>KRONOBERGS LÄN</t>
        </is>
      </c>
      <c r="G488" t="inlineStr">
        <is>
          <t>ALVESTA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44994</v>
      </c>
      <c r="E489" s="1" t="n">
        <v>46238</v>
      </c>
      <c r="F489" t="inlineStr">
        <is>
          <t>KRONOBERGS LÄN</t>
        </is>
      </c>
      <c r="G489" t="inlineStr">
        <is>
          <t>ALVESTA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46238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62147-2023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45267</v>
      </c>
      <c r="E491" s="1" t="n">
        <v>46238</v>
      </c>
      <c r="F491" t="inlineStr">
        <is>
          <t>KRONOBERGS LÄN</t>
        </is>
      </c>
      <c r="G491" t="inlineStr">
        <is>
          <t>ALVESTA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23353-2023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45076</v>
      </c>
      <c r="E492" s="1" t="n">
        <v>46238</v>
      </c>
      <c r="F492" t="inlineStr">
        <is>
          <t>KRONOBERGS LÄN</t>
        </is>
      </c>
      <c r="G492" t="inlineStr">
        <is>
          <t>ALVESTA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25567-2026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46238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26573-2023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46238</v>
      </c>
      <c r="F494" t="inlineStr">
        <is>
          <t>KRONOBERGS LÄN</t>
        </is>
      </c>
      <c r="G494" t="inlineStr">
        <is>
          <t>ALVESTA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45308</v>
      </c>
      <c r="E495" s="1" t="n">
        <v>46238</v>
      </c>
      <c r="F495" t="inlineStr">
        <is>
          <t>KRONOBERGS LÄN</t>
        </is>
      </c>
      <c r="G495" t="inlineStr">
        <is>
          <t>ALVESTA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38890-2023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45161</v>
      </c>
      <c r="E496" s="1" t="n">
        <v>46238</v>
      </c>
      <c r="F496" t="inlineStr">
        <is>
          <t>KRONOBERGS LÄN</t>
        </is>
      </c>
      <c r="G496" t="inlineStr">
        <is>
          <t>ALVESTA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46238</v>
      </c>
      <c r="F497" t="inlineStr">
        <is>
          <t>KRONOBERGS LÄN</t>
        </is>
      </c>
      <c r="G497" t="inlineStr">
        <is>
          <t>ALVESTA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53917-2022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44880</v>
      </c>
      <c r="E498" s="1" t="n">
        <v>46238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46238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45180</v>
      </c>
      <c r="E500" s="1" t="n">
        <v>46238</v>
      </c>
      <c r="F500" t="inlineStr">
        <is>
          <t>KRONOBERGS LÄN</t>
        </is>
      </c>
      <c r="G500" t="inlineStr">
        <is>
          <t>ALVESTA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46238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46238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46238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46238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27077-2026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46186</v>
      </c>
      <c r="E505" s="1" t="n">
        <v>46238</v>
      </c>
      <c r="F505" t="inlineStr">
        <is>
          <t>KRONOBERGS LÄN</t>
        </is>
      </c>
      <c r="G505" t="inlineStr">
        <is>
          <t>ALVESTA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44925</v>
      </c>
      <c r="E506" s="1" t="n">
        <v>46238</v>
      </c>
      <c r="F506" t="inlineStr">
        <is>
          <t>KRONOBERGS LÄN</t>
        </is>
      </c>
      <c r="G506" t="inlineStr">
        <is>
          <t>ALVESTA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27032-2026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46185</v>
      </c>
      <c r="E507" s="1" t="n">
        <v>46238</v>
      </c>
      <c r="F507" t="inlineStr">
        <is>
          <t>KRONOBERGS LÄN</t>
        </is>
      </c>
      <c r="G507" t="inlineStr">
        <is>
          <t>ALVESTA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45302</v>
      </c>
      <c r="E508" s="1" t="n">
        <v>46238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46238</v>
      </c>
      <c r="F509" t="inlineStr">
        <is>
          <t>KRONOBERGS LÄN</t>
        </is>
      </c>
      <c r="G509" t="inlineStr">
        <is>
          <t>ALVESTA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46238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45032</v>
      </c>
      <c r="E511" s="1" t="n">
        <v>46238</v>
      </c>
      <c r="F511" t="inlineStr">
        <is>
          <t>KRONOBERGS LÄN</t>
        </is>
      </c>
      <c r="G511" t="inlineStr">
        <is>
          <t>ALVESTA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45217</v>
      </c>
      <c r="E512" s="1" t="n">
        <v>46238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45128</v>
      </c>
      <c r="E513" s="1" t="n">
        <v>46238</v>
      </c>
      <c r="F513" t="inlineStr">
        <is>
          <t>KRONOBERGS LÄN</t>
        </is>
      </c>
      <c r="G513" t="inlineStr">
        <is>
          <t>ALVESTA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46238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44747</v>
      </c>
      <c r="E515" s="1" t="n">
        <v>46238</v>
      </c>
      <c r="F515" t="inlineStr">
        <is>
          <t>KRONOBERGS LÄN</t>
        </is>
      </c>
      <c r="G515" t="inlineStr">
        <is>
          <t>ALVESTA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46238</v>
      </c>
      <c r="F516" t="inlineStr">
        <is>
          <t>KRONOBERGS LÄN</t>
        </is>
      </c>
      <c r="G516" t="inlineStr">
        <is>
          <t>ALVESTA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46238</v>
      </c>
      <c r="F517" t="inlineStr">
        <is>
          <t>KRONOBERGS LÄN</t>
        </is>
      </c>
      <c r="G517" t="inlineStr">
        <is>
          <t>ALVESTA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46238</v>
      </c>
      <c r="F518" t="inlineStr">
        <is>
          <t>KRONOBERGS LÄN</t>
        </is>
      </c>
      <c r="G518" t="inlineStr">
        <is>
          <t>ALVESTA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46238</v>
      </c>
      <c r="F519" t="inlineStr">
        <is>
          <t>KRONOBERGS LÄN</t>
        </is>
      </c>
      <c r="G519" t="inlineStr">
        <is>
          <t>ALVESTA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45136</v>
      </c>
      <c r="E520" s="1" t="n">
        <v>46238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46238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45555</v>
      </c>
      <c r="E522" s="1" t="n">
        <v>46238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44420</v>
      </c>
      <c r="E523" s="1" t="n">
        <v>46238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46238</v>
      </c>
      <c r="F524" t="inlineStr">
        <is>
          <t>KRONOBERGS LÄN</t>
        </is>
      </c>
      <c r="G524" t="inlineStr">
        <is>
          <t>ALVESTA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46238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46238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45146</v>
      </c>
      <c r="E527" s="1" t="n">
        <v>46238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46238</v>
      </c>
      <c r="F528" t="inlineStr">
        <is>
          <t>KRONOBERGS LÄN</t>
        </is>
      </c>
      <c r="G528" t="inlineStr">
        <is>
          <t>ALVESTA</t>
        </is>
      </c>
      <c r="H528" t="inlineStr">
        <is>
          <t>Övriga Aktiebolag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26225-2022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46238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46238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45608</v>
      </c>
      <c r="E531" s="1" t="n">
        <v>46238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46238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44895</v>
      </c>
      <c r="E533" s="1" t="n">
        <v>46238</v>
      </c>
      <c r="F533" t="inlineStr">
        <is>
          <t>KRONOBERGS LÄN</t>
        </is>
      </c>
      <c r="G533" t="inlineStr">
        <is>
          <t>ALVESTA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46238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46238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45336</v>
      </c>
      <c r="E536" s="1" t="n">
        <v>46238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72318-2021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46238</v>
      </c>
      <c r="F537" t="inlineStr">
        <is>
          <t>KRONOBERGS LÄN</t>
        </is>
      </c>
      <c r="G537" t="inlineStr">
        <is>
          <t>ALVESTA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45153</v>
      </c>
      <c r="E538" s="1" t="n">
        <v>46238</v>
      </c>
      <c r="F538" t="inlineStr">
        <is>
          <t>KRONOBERGS LÄN</t>
        </is>
      </c>
      <c r="G538" t="inlineStr">
        <is>
          <t>ALVESTA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45153</v>
      </c>
      <c r="E539" s="1" t="n">
        <v>46238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42397-2023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46238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38385-2022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46238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46238</v>
      </c>
      <c r="F542" t="inlineStr">
        <is>
          <t>KRONOBERGS LÄN</t>
        </is>
      </c>
      <c r="G542" t="inlineStr">
        <is>
          <t>ALVESTA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46238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46238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46238</v>
      </c>
      <c r="F545" t="inlineStr">
        <is>
          <t>KRONOBERGS LÄN</t>
        </is>
      </c>
      <c r="G545" t="inlineStr">
        <is>
          <t>ALVESTA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46238</v>
      </c>
      <c r="F546" t="inlineStr">
        <is>
          <t>KRONOBERGS LÄN</t>
        </is>
      </c>
      <c r="G546" t="inlineStr">
        <is>
          <t>ALVESTA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45447</v>
      </c>
      <c r="E547" s="1" t="n">
        <v>46238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46238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46238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46238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44455</v>
      </c>
      <c r="E551" s="1" t="n">
        <v>46238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12299-2023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44998</v>
      </c>
      <c r="E552" s="1" t="n">
        <v>46238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45712</v>
      </c>
      <c r="E553" s="1" t="n">
        <v>46238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46238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46238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46238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45700</v>
      </c>
      <c r="E557" s="1" t="n">
        <v>46238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46238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46238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46238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46238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45456</v>
      </c>
      <c r="E562" s="1" t="n">
        <v>46238</v>
      </c>
      <c r="F562" t="inlineStr">
        <is>
          <t>KRONOBERGS LÄN</t>
        </is>
      </c>
      <c r="G562" t="inlineStr">
        <is>
          <t>ALVESTA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46238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46238</v>
      </c>
      <c r="F564" t="inlineStr">
        <is>
          <t>KRONOBERGS LÄN</t>
        </is>
      </c>
      <c r="G564" t="inlineStr">
        <is>
          <t>ALVESTA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46238</v>
      </c>
      <c r="F565" t="inlineStr">
        <is>
          <t>KRONOBERGS LÄN</t>
        </is>
      </c>
      <c r="G565" t="inlineStr">
        <is>
          <t>ALVESTA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15063-2023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45015</v>
      </c>
      <c r="E566" s="1" t="n">
        <v>46238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46238</v>
      </c>
      <c r="F567" t="inlineStr">
        <is>
          <t>KRONOBERGS LÄN</t>
        </is>
      </c>
      <c r="G567" t="inlineStr">
        <is>
          <t>ALVESTA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45391</v>
      </c>
      <c r="E568" s="1" t="n">
        <v>46238</v>
      </c>
      <c r="F568" t="inlineStr">
        <is>
          <t>KRONOBERGS LÄN</t>
        </is>
      </c>
      <c r="G568" t="inlineStr">
        <is>
          <t>ALVESTA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45418</v>
      </c>
      <c r="E569" s="1" t="n">
        <v>46238</v>
      </c>
      <c r="F569" t="inlineStr">
        <is>
          <t>KRONOBERGS LÄN</t>
        </is>
      </c>
      <c r="G569" t="inlineStr">
        <is>
          <t>ALVESTA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45518</v>
      </c>
      <c r="E570" s="1" t="n">
        <v>46238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25220-2025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45798</v>
      </c>
      <c r="E571" s="1" t="n">
        <v>46238</v>
      </c>
      <c r="F571" t="inlineStr">
        <is>
          <t>KRONOBERGS LÄN</t>
        </is>
      </c>
      <c r="G571" t="inlineStr">
        <is>
          <t>ALVESTA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46238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45362</v>
      </c>
      <c r="E573" s="1" t="n">
        <v>46238</v>
      </c>
      <c r="F573" t="inlineStr">
        <is>
          <t>KRONOBERGS LÄN</t>
        </is>
      </c>
      <c r="G573" t="inlineStr">
        <is>
          <t>ALVESTA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46238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46238</v>
      </c>
      <c r="F575" t="inlineStr">
        <is>
          <t>KRONOBERGS LÄN</t>
        </is>
      </c>
      <c r="G575" t="inlineStr">
        <is>
          <t>ALVESTA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46238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46238</v>
      </c>
      <c r="F577" t="inlineStr">
        <is>
          <t>KRONOBERGS LÄN</t>
        </is>
      </c>
      <c r="G577" t="inlineStr">
        <is>
          <t>ALVESTA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44816</v>
      </c>
      <c r="E578" s="1" t="n">
        <v>46238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59052-2021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44490</v>
      </c>
      <c r="E579" s="1" t="n">
        <v>46238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46238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46238</v>
      </c>
      <c r="F581" t="inlineStr">
        <is>
          <t>KRONOBERGS LÄN</t>
        </is>
      </c>
      <c r="G581" t="inlineStr">
        <is>
          <t>ALVESTA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46238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46238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45384</v>
      </c>
      <c r="E584" s="1" t="n">
        <v>46238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45824</v>
      </c>
      <c r="E585" s="1" t="n">
        <v>46238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46238</v>
      </c>
      <c r="F586" t="inlineStr">
        <is>
          <t>KRONOBERGS LÄN</t>
        </is>
      </c>
      <c r="G586" t="inlineStr">
        <is>
          <t>ALVESTA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46238</v>
      </c>
      <c r="F587" t="inlineStr">
        <is>
          <t>KRONOBERGS LÄN</t>
        </is>
      </c>
      <c r="G587" t="inlineStr">
        <is>
          <t>ALVESTA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46238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46238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46238</v>
      </c>
      <c r="F590" t="inlineStr">
        <is>
          <t>KRONOBERGS LÄN</t>
        </is>
      </c>
      <c r="G590" t="inlineStr">
        <is>
          <t>ALVESTA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46238</v>
      </c>
      <c r="F591" t="inlineStr">
        <is>
          <t>KRONOBERGS LÄN</t>
        </is>
      </c>
      <c r="G591" t="inlineStr">
        <is>
          <t>ALVESTA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46238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46238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46238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46238</v>
      </c>
      <c r="F595" t="inlineStr">
        <is>
          <t>KRONOBERGS LÄN</t>
        </is>
      </c>
      <c r="G595" t="inlineStr">
        <is>
          <t>ALVESTA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46238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46238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46238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46238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45852</v>
      </c>
      <c r="E600" s="1" t="n">
        <v>46238</v>
      </c>
      <c r="F600" t="inlineStr">
        <is>
          <t>KRONOBERGS LÄN</t>
        </is>
      </c>
      <c r="G600" t="inlineStr">
        <is>
          <t>ALVESTA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46238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46238</v>
      </c>
      <c r="F602" t="inlineStr">
        <is>
          <t>KRONOBERGS LÄN</t>
        </is>
      </c>
      <c r="G602" t="inlineStr">
        <is>
          <t>ALVESTA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48692-2024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46238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60202-2021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44495</v>
      </c>
      <c r="E604" s="1" t="n">
        <v>46238</v>
      </c>
      <c r="F604" t="inlineStr">
        <is>
          <t>KRONOBERGS LÄN</t>
        </is>
      </c>
      <c r="G604" t="inlineStr">
        <is>
          <t>ALVESTA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3838-2022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44743</v>
      </c>
      <c r="E605" s="1" t="n">
        <v>46238</v>
      </c>
      <c r="F605" t="inlineStr">
        <is>
          <t>KRONOBERGS LÄN</t>
        </is>
      </c>
      <c r="G605" t="inlineStr">
        <is>
          <t>ALVESTA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572-2024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45350</v>
      </c>
      <c r="E606" s="1" t="n">
        <v>46238</v>
      </c>
      <c r="F606" t="inlineStr">
        <is>
          <t>KRONOBERGS LÄN</t>
        </is>
      </c>
      <c r="G606" t="inlineStr">
        <is>
          <t>ALVESTA</t>
        </is>
      </c>
      <c r="I606" t="n">
        <v>32.7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6869-2022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44903</v>
      </c>
      <c r="E607" s="1" t="n">
        <v>46238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46238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46238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46238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46238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46238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46238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46238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46238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46238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1569-2022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44643</v>
      </c>
      <c r="E617" s="1" t="n">
        <v>46238</v>
      </c>
      <c r="F617" t="inlineStr">
        <is>
          <t>KRONOBERGS LÄN</t>
        </is>
      </c>
      <c r="G617" t="inlineStr">
        <is>
          <t>ALVESTA</t>
        </is>
      </c>
      <c r="I617" t="n">
        <v>21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46238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46238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46238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46238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46238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46238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46238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46238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46238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46238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46238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46238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46238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46238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46238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2026-08-04T01:59:05Z</dcterms:created>
  <dcterms:modified xmlns:dcterms="http://purl.org/dc/terms/" xmlns:xsi="http://www.w3.org/2001/XMLSchema-instance" xsi:type="dcterms:W3CDTF">2026-08-04T01:59:05Z</dcterms:modified>
</cp:coreProperties>
</file>