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46306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46306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46306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46306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46306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46306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46306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46306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46306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46306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46306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46306</v>
      </c>
      <c r="F24" t="inlineStr">
        <is>
          <t>KRONOBERGS LÄN</t>
        </is>
      </c>
      <c r="G24" t="inlineStr">
        <is>
          <t>ALVESTA</t>
        </is>
      </c>
      <c r="H24" t="inlineStr">
        <is>
          <t>Kyrkan</t>
        </is>
      </c>
      <c r="I24" t="n">
        <v>2.3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Blomkålssvamp
Spillkråka</t>
        </is>
      </c>
      <c r="W24">
        <f>HYPERLINK("https://klasma.github.io/Logging_0764/artfynd/A 1811-2025 artfynd.xlsx", "A 1811-2025")</f>
        <v/>
      </c>
      <c r="X24">
        <f>HYPERLINK("https://klasma.github.io/Logging_0764/kartor/A 1811-2025 karta.png", "A 1811-2025")</f>
        <v/>
      </c>
      <c r="Y24">
        <f>HYPERLINK("https://klasma.github.io/Logging_0764/kartor_geotiff/A 1811-2025 georefererad karta.tif", "A 1811-2025")</f>
        <v/>
      </c>
      <c r="AA24">
        <f>HYPERLINK("https://klasma.github.io/Logging_0764/klagomål/A 1811-2025 FSC-klagomål.docx", "A 1811-2025")</f>
        <v/>
      </c>
      <c r="AB24">
        <f>HYPERLINK("https://klasma.github.io/Logging_0764/klagomålsmail/A 1811-2025 FSC-klagomål mail.docx", "A 1811-2025")</f>
        <v/>
      </c>
      <c r="AC24">
        <f>HYPERLINK("https://klasma.github.io/Logging_0764/tillsyn/A 1811-2025 tillsynsbegäran.docx", "A 1811-2025")</f>
        <v/>
      </c>
      <c r="AD24">
        <f>HYPERLINK("https://klasma.github.io/Logging_0764/tillsynsmail/A 1811-2025 tillsynsbegäran mail.docx", "A 1811-2025")</f>
        <v/>
      </c>
      <c r="AE24">
        <f>HYPERLINK("https://klasma.github.io/Logging_0764/fåglar/A 1811-2025 prioriterade fågelarter.docx", "A 1811-2025")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46306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46306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51785-2025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45951</v>
      </c>
      <c r="E27" s="1" t="n">
        <v>46306</v>
      </c>
      <c r="F27" t="inlineStr">
        <is>
          <t>KRONOBERGS LÄN</t>
        </is>
      </c>
      <c r="G27" t="inlineStr">
        <is>
          <t>ALVESTA</t>
        </is>
      </c>
      <c r="I27" t="n">
        <v>24.5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Lopplummer (aggregat)</t>
        </is>
      </c>
      <c r="W27">
        <f>HYPERLINK("https://klasma.github.io/Logging_0764/artfynd/A 51785-2025 artfynd.xlsx", "A 51785-2025")</f>
        <v/>
      </c>
      <c r="X27">
        <f>HYPERLINK("https://klasma.github.io/Logging_0764/kartor/A 51785-2025 karta.png", "A 51785-2025")</f>
        <v/>
      </c>
      <c r="Y27">
        <f>HYPERLINK("https://klasma.github.io/Logging_0764/kartor_geotiff/A 51785-2025 georefererad karta.tif", "A 51785-2025")</f>
        <v/>
      </c>
      <c r="AA27">
        <f>HYPERLINK("https://klasma.github.io/Logging_0764/klagomål/A 51785-2025 FSC-klagomål.docx", "A 51785-2025")</f>
        <v/>
      </c>
      <c r="AB27">
        <f>HYPERLINK("https://klasma.github.io/Logging_0764/klagomålsmail/A 51785-2025 FSC-klagomål mail.docx", "A 51785-2025")</f>
        <v/>
      </c>
      <c r="AC27">
        <f>HYPERLINK("https://klasma.github.io/Logging_0764/tillsyn/A 51785-2025 tillsynsbegäran.docx", "A 51785-2025")</f>
        <v/>
      </c>
      <c r="AD27">
        <f>HYPERLINK("https://klasma.github.io/Logging_0764/tillsynsmail/A 51785-2025 tillsynsbegäran mail.docx", "A 51785-2025")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46306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46306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46306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46306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A 37143-2026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46306</v>
      </c>
      <c r="F32" t="inlineStr">
        <is>
          <t>KRONOBERGS LÄN</t>
        </is>
      </c>
      <c r="G32" t="inlineStr">
        <is>
          <t>ALVESTA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Vedtrappmossa
Stor revmossa</t>
        </is>
      </c>
      <c r="W32">
        <f>HYPERLINK("https://klasma.github.io/Logging_0764/artfynd/A 37143-2026 artfynd.xlsx", "A 37143-2026")</f>
        <v/>
      </c>
      <c r="X32">
        <f>HYPERLINK("https://klasma.github.io/Logging_0764/kartor/A 37143-2026 karta.png", "A 37143-2026")</f>
        <v/>
      </c>
      <c r="Y32">
        <f>HYPERLINK("https://klasma.github.io/Logging_0764/kartor_geotiff/A 37143-2026 georefererad karta.tif", "A 37143-2026")</f>
        <v/>
      </c>
      <c r="AA32">
        <f>HYPERLINK("https://klasma.github.io/Logging_0764/klagomål/A 37143-2026 FSC-klagomål.docx", "A 37143-2026")</f>
        <v/>
      </c>
      <c r="AB32">
        <f>HYPERLINK("https://klasma.github.io/Logging_0764/klagomålsmail/A 37143-2026 FSC-klagomål mail.docx", "A 37143-2026")</f>
        <v/>
      </c>
      <c r="AC32">
        <f>HYPERLINK("https://klasma.github.io/Logging_0764/tillsyn/A 37143-2026 tillsynsbegäran.docx", "A 37143-2026")</f>
        <v/>
      </c>
      <c r="AD32">
        <f>HYPERLINK("https://klasma.github.io/Logging_0764/tillsynsmail/A 37143-2026 tillsynsbegäran mail.docx", "A 37143-2026")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46306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46306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46306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46306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46306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46306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46306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46306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46306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46306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46306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46306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46306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46306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46306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46306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46306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46306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46306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46306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46306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46306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46306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46306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46306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46306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46306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46306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46306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46306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46306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46306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46306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46306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46306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46306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46306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46306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46306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46306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46306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46306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46306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46306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44488</v>
      </c>
      <c r="E78" s="1" t="n">
        <v>46306</v>
      </c>
      <c r="F78" t="inlineStr">
        <is>
          <t>KRONOBERGS LÄN</t>
        </is>
      </c>
      <c r="G78" t="inlineStr">
        <is>
          <t>ALVESTA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46306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44859</v>
      </c>
      <c r="E80" s="1" t="n">
        <v>46306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46306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46306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46306</v>
      </c>
      <c r="F83" t="inlineStr">
        <is>
          <t>KRONOBERGS LÄN</t>
        </is>
      </c>
      <c r="G83" t="inlineStr">
        <is>
          <t>ALVESTA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44735</v>
      </c>
      <c r="E84" s="1" t="n">
        <v>46306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46306</v>
      </c>
      <c r="F85" t="inlineStr">
        <is>
          <t>KRONOBERGS LÄN</t>
        </is>
      </c>
      <c r="G85" t="inlineStr">
        <is>
          <t>ALVESTA</t>
        </is>
      </c>
      <c r="H85" t="inlineStr">
        <is>
          <t>Kommuner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46306</v>
      </c>
      <c r="F86" t="inlineStr">
        <is>
          <t>KRONOBERGS LÄN</t>
        </is>
      </c>
      <c r="G86" t="inlineStr">
        <is>
          <t>ALVESTA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46306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46306</v>
      </c>
      <c r="F88" t="inlineStr">
        <is>
          <t>KRONOBERGS LÄN</t>
        </is>
      </c>
      <c r="G88" t="inlineStr">
        <is>
          <t>ALVESTA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70869-2021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44538</v>
      </c>
      <c r="E89" s="1" t="n">
        <v>46306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46306</v>
      </c>
      <c r="F90" t="inlineStr">
        <is>
          <t>KRONOBERGS LÄN</t>
        </is>
      </c>
      <c r="G90" t="inlineStr">
        <is>
          <t>ALVESTA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48763-2022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46306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46306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46306</v>
      </c>
      <c r="F93" t="inlineStr">
        <is>
          <t>KRONOBERGS LÄN</t>
        </is>
      </c>
      <c r="G93" t="inlineStr">
        <is>
          <t>ALVESTA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46306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46306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46306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46306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46306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46306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46306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46306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45673</v>
      </c>
      <c r="E102" s="1" t="n">
        <v>46306</v>
      </c>
      <c r="F102" t="inlineStr">
        <is>
          <t>KRONOBERGS LÄN</t>
        </is>
      </c>
      <c r="G102" t="inlineStr">
        <is>
          <t>ALVESTA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46306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46306</v>
      </c>
      <c r="F104" t="inlineStr">
        <is>
          <t>KRONOBERGS LÄN</t>
        </is>
      </c>
      <c r="G104" t="inlineStr">
        <is>
          <t>ALVESTA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46306</v>
      </c>
      <c r="F105" t="inlineStr">
        <is>
          <t>KRONOBERGS LÄN</t>
        </is>
      </c>
      <c r="G105" t="inlineStr">
        <is>
          <t>ALVESTA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46306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44804</v>
      </c>
      <c r="E107" s="1" t="n">
        <v>46306</v>
      </c>
      <c r="F107" t="inlineStr">
        <is>
          <t>KRONOBERGS LÄN</t>
        </is>
      </c>
      <c r="G107" t="inlineStr">
        <is>
          <t>ALVESTA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46306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46306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45136</v>
      </c>
      <c r="E110" s="1" t="n">
        <v>46306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46306</v>
      </c>
      <c r="F111" t="inlineStr">
        <is>
          <t>KRONOBERGS LÄN</t>
        </is>
      </c>
      <c r="G111" t="inlineStr">
        <is>
          <t>ALVESTA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46306</v>
      </c>
      <c r="F112" t="inlineStr">
        <is>
          <t>KRONOBERGS LÄN</t>
        </is>
      </c>
      <c r="G112" t="inlineStr">
        <is>
          <t>ALVESTA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45128</v>
      </c>
      <c r="E113" s="1" t="n">
        <v>46306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53917-2022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46306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46306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46306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46306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46306</v>
      </c>
      <c r="F118" t="inlineStr">
        <is>
          <t>KRONOBERGS LÄN</t>
        </is>
      </c>
      <c r="G118" t="inlineStr">
        <is>
          <t>ALVESTA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46306</v>
      </c>
      <c r="F119" t="inlineStr">
        <is>
          <t>KRONOBERGS LÄN</t>
        </is>
      </c>
      <c r="G119" t="inlineStr">
        <is>
          <t>ALVESTA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46306</v>
      </c>
      <c r="F120" t="inlineStr">
        <is>
          <t>KRONOBERGS LÄN</t>
        </is>
      </c>
      <c r="G120" t="inlineStr">
        <is>
          <t>ALVESTA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46306</v>
      </c>
      <c r="F121" t="inlineStr">
        <is>
          <t>KRONOBERGS LÄN</t>
        </is>
      </c>
      <c r="G121" t="inlineStr">
        <is>
          <t>ALVESTA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46306</v>
      </c>
      <c r="F122" t="inlineStr">
        <is>
          <t>KRONOBERGS LÄN</t>
        </is>
      </c>
      <c r="G122" t="inlineStr">
        <is>
          <t>ALVESTA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46306</v>
      </c>
      <c r="F123" t="inlineStr">
        <is>
          <t>KRONOBERGS LÄN</t>
        </is>
      </c>
      <c r="G123" t="inlineStr">
        <is>
          <t>ALVESTA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60478-2023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45259</v>
      </c>
      <c r="E124" s="1" t="n">
        <v>46306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46306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45555</v>
      </c>
      <c r="E126" s="1" t="n">
        <v>46306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46306</v>
      </c>
      <c r="F127" t="inlineStr">
        <is>
          <t>KRONOBERGS LÄN</t>
        </is>
      </c>
      <c r="G127" t="inlineStr">
        <is>
          <t>ALVESTA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46306</v>
      </c>
      <c r="F128" t="inlineStr">
        <is>
          <t>KRONOBERGS LÄN</t>
        </is>
      </c>
      <c r="G128" t="inlineStr">
        <is>
          <t>ALVESTA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46306</v>
      </c>
      <c r="F129" t="inlineStr">
        <is>
          <t>KRONOBERGS LÄN</t>
        </is>
      </c>
      <c r="G129" t="inlineStr">
        <is>
          <t>ALVESTA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45296</v>
      </c>
      <c r="E130" s="1" t="n">
        <v>46306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46306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46306</v>
      </c>
      <c r="F132" t="inlineStr">
        <is>
          <t>KRONOBERGS LÄN</t>
        </is>
      </c>
      <c r="G132" t="inlineStr">
        <is>
          <t>ALVESTA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46306</v>
      </c>
      <c r="F133" t="inlineStr">
        <is>
          <t>KRONOBERGS LÄN</t>
        </is>
      </c>
      <c r="G133" t="inlineStr">
        <is>
          <t>ALVESTA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46306</v>
      </c>
      <c r="F134" t="inlineStr">
        <is>
          <t>KRONOBERGS LÄN</t>
        </is>
      </c>
      <c r="G134" t="inlineStr">
        <is>
          <t>ALVESTA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46306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45436</v>
      </c>
      <c r="E136" s="1" t="n">
        <v>46306</v>
      </c>
      <c r="F136" t="inlineStr">
        <is>
          <t>KRONOBERGS LÄN</t>
        </is>
      </c>
      <c r="G136" t="inlineStr">
        <is>
          <t>ALVESTA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46306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46306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46306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46306</v>
      </c>
      <c r="F140" t="inlineStr">
        <is>
          <t>KRONOBERGS LÄN</t>
        </is>
      </c>
      <c r="G140" t="inlineStr">
        <is>
          <t>ALVESTA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46306</v>
      </c>
      <c r="F141" t="inlineStr">
        <is>
          <t>KRONOBERGS LÄN</t>
        </is>
      </c>
      <c r="G141" t="inlineStr">
        <is>
          <t>ALVESTA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46306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46306</v>
      </c>
      <c r="F143" t="inlineStr">
        <is>
          <t>KRONOBERGS LÄN</t>
        </is>
      </c>
      <c r="G143" t="inlineStr">
        <is>
          <t>ALVESTA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46306</v>
      </c>
      <c r="F144" t="inlineStr">
        <is>
          <t>KRONOBERGS LÄN</t>
        </is>
      </c>
      <c r="G144" t="inlineStr">
        <is>
          <t>ALVESTA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46306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46306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44907</v>
      </c>
      <c r="E147" s="1" t="n">
        <v>46306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46306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46306</v>
      </c>
      <c r="F149" t="inlineStr">
        <is>
          <t>KRONOBERGS LÄN</t>
        </is>
      </c>
      <c r="G149" t="inlineStr">
        <is>
          <t>ALVESTA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46306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46306</v>
      </c>
      <c r="F151" t="inlineStr">
        <is>
          <t>KRONOBERGS LÄN</t>
        </is>
      </c>
      <c r="G151" t="inlineStr">
        <is>
          <t>ALVESTA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46306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46306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45336</v>
      </c>
      <c r="E154" s="1" t="n">
        <v>46306</v>
      </c>
      <c r="F154" t="inlineStr">
        <is>
          <t>KRONOBERGS LÄN</t>
        </is>
      </c>
      <c r="G154" t="inlineStr">
        <is>
          <t>ALVESTA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46306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46306</v>
      </c>
      <c r="F156" t="inlineStr">
        <is>
          <t>KRONOBERGS LÄN</t>
        </is>
      </c>
      <c r="G156" t="inlineStr">
        <is>
          <t>ALVESTA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46306</v>
      </c>
      <c r="F157" t="inlineStr">
        <is>
          <t>KRONOBERGS LÄN</t>
        </is>
      </c>
      <c r="G157" t="inlineStr">
        <is>
          <t>ALVESTA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46306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45055</v>
      </c>
      <c r="E159" s="1" t="n">
        <v>46306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46306</v>
      </c>
      <c r="F160" t="inlineStr">
        <is>
          <t>KRONOBERGS LÄN</t>
        </is>
      </c>
      <c r="G160" t="inlineStr">
        <is>
          <t>ALVESTA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46306</v>
      </c>
      <c r="F161" t="inlineStr">
        <is>
          <t>KRONOBERGS LÄN</t>
        </is>
      </c>
      <c r="G161" t="inlineStr">
        <is>
          <t>ALVESTA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46306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46306</v>
      </c>
      <c r="F163" t="inlineStr">
        <is>
          <t>KRONOBERGS LÄN</t>
        </is>
      </c>
      <c r="G163" t="inlineStr">
        <is>
          <t>ALVESTA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46306</v>
      </c>
      <c r="F164" t="inlineStr">
        <is>
          <t>KRONOBERGS LÄN</t>
        </is>
      </c>
      <c r="G164" t="inlineStr">
        <is>
          <t>ALVESTA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45032</v>
      </c>
      <c r="E165" s="1" t="n">
        <v>46306</v>
      </c>
      <c r="F165" t="inlineStr">
        <is>
          <t>KRONOBERGS LÄN</t>
        </is>
      </c>
      <c r="G165" t="inlineStr">
        <is>
          <t>ALVESTA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50733-2023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45217</v>
      </c>
      <c r="E166" s="1" t="n">
        <v>46306</v>
      </c>
      <c r="F166" t="inlineStr">
        <is>
          <t>KRONOBERGS LÄN</t>
        </is>
      </c>
      <c r="G166" t="inlineStr">
        <is>
          <t>ALVESTA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46306</v>
      </c>
      <c r="F167" t="inlineStr">
        <is>
          <t>KRONOBERGS LÄN</t>
        </is>
      </c>
      <c r="G167" t="inlineStr">
        <is>
          <t>ALVESTA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46306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46306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46306</v>
      </c>
      <c r="F170" t="inlineStr">
        <is>
          <t>KRONOBERGS LÄN</t>
        </is>
      </c>
      <c r="G170" t="inlineStr">
        <is>
          <t>ALVESTA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44620</v>
      </c>
      <c r="E171" s="1" t="n">
        <v>46306</v>
      </c>
      <c r="F171" t="inlineStr">
        <is>
          <t>KRONOBERGS LÄN</t>
        </is>
      </c>
      <c r="G171" t="inlineStr">
        <is>
          <t>ALVESTA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46306</v>
      </c>
      <c r="F172" t="inlineStr">
        <is>
          <t>KRONOBERGS LÄN</t>
        </is>
      </c>
      <c r="G172" t="inlineStr">
        <is>
          <t>ALVESTA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46306</v>
      </c>
      <c r="F173" t="inlineStr">
        <is>
          <t>KRONOBERGS LÄN</t>
        </is>
      </c>
      <c r="G173" t="inlineStr">
        <is>
          <t>ALVESTA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45308</v>
      </c>
      <c r="E174" s="1" t="n">
        <v>46306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46306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46306</v>
      </c>
      <c r="F176" t="inlineStr">
        <is>
          <t>KRONOBERGS LÄN</t>
        </is>
      </c>
      <c r="G176" t="inlineStr">
        <is>
          <t>ALVESTA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46306</v>
      </c>
      <c r="F177" t="inlineStr">
        <is>
          <t>KRONOBERGS LÄN</t>
        </is>
      </c>
      <c r="G177" t="inlineStr">
        <is>
          <t>ALVESTA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45519</v>
      </c>
      <c r="E178" s="1" t="n">
        <v>46306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46306</v>
      </c>
      <c r="F179" t="inlineStr">
        <is>
          <t>KRONOBERGS LÄN</t>
        </is>
      </c>
      <c r="G179" t="inlineStr">
        <is>
          <t>ALVESTA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46306</v>
      </c>
      <c r="F180" t="inlineStr">
        <is>
          <t>KRONOBERGS LÄN</t>
        </is>
      </c>
      <c r="G180" t="inlineStr">
        <is>
          <t>ALVESTA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46306</v>
      </c>
      <c r="F181" t="inlineStr">
        <is>
          <t>KRONOBERGS LÄN</t>
        </is>
      </c>
      <c r="G181" t="inlineStr">
        <is>
          <t>ALVESTA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62704-2021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44504</v>
      </c>
      <c r="E182" s="1" t="n">
        <v>46306</v>
      </c>
      <c r="F182" t="inlineStr">
        <is>
          <t>KRONOBERGS LÄN</t>
        </is>
      </c>
      <c r="G182" t="inlineStr">
        <is>
          <t>ALVESTA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45267</v>
      </c>
      <c r="E183" s="1" t="n">
        <v>46306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46306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45804</v>
      </c>
      <c r="E185" s="1" t="n">
        <v>46306</v>
      </c>
      <c r="F185" t="inlineStr">
        <is>
          <t>KRONOBERGS LÄN</t>
        </is>
      </c>
      <c r="G185" t="inlineStr">
        <is>
          <t>ALVESTA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46306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46306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46306</v>
      </c>
      <c r="F188" t="inlineStr">
        <is>
          <t>KRONOBERGS LÄN</t>
        </is>
      </c>
      <c r="G188" t="inlineStr">
        <is>
          <t>ALVESTA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46306</v>
      </c>
      <c r="F189" t="inlineStr">
        <is>
          <t>KRONOBERGS LÄN</t>
        </is>
      </c>
      <c r="G189" t="inlineStr">
        <is>
          <t>ALVESTA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46306</v>
      </c>
      <c r="F190" t="inlineStr">
        <is>
          <t>KRONOBERGS LÄN</t>
        </is>
      </c>
      <c r="G190" t="inlineStr">
        <is>
          <t>ALVESTA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46306</v>
      </c>
      <c r="F191" t="inlineStr">
        <is>
          <t>KRONOBERGS LÄN</t>
        </is>
      </c>
      <c r="G191" t="inlineStr">
        <is>
          <t>ALVESTA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44925</v>
      </c>
      <c r="E192" s="1" t="n">
        <v>46306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46306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45358</v>
      </c>
      <c r="E194" s="1" t="n">
        <v>46306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46306</v>
      </c>
      <c r="F195" t="inlineStr">
        <is>
          <t>KRONOBERGS LÄN</t>
        </is>
      </c>
      <c r="G195" t="inlineStr">
        <is>
          <t>ALVESTA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46306</v>
      </c>
      <c r="F196" t="inlineStr">
        <is>
          <t>KRONOBERGS LÄN</t>
        </is>
      </c>
      <c r="G196" t="inlineStr">
        <is>
          <t>ALVESTA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46306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46306</v>
      </c>
      <c r="F198" t="inlineStr">
        <is>
          <t>KRONOBERGS LÄN</t>
        </is>
      </c>
      <c r="G198" t="inlineStr">
        <is>
          <t>ALVESTA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46306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45414</v>
      </c>
      <c r="E200" s="1" t="n">
        <v>46306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46306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46306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46306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46306</v>
      </c>
      <c r="F204" t="inlineStr">
        <is>
          <t>KRONOBERGS LÄN</t>
        </is>
      </c>
      <c r="G204" t="inlineStr">
        <is>
          <t>ALVESTA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46306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45482</v>
      </c>
      <c r="E206" s="1" t="n">
        <v>46306</v>
      </c>
      <c r="F206" t="inlineStr">
        <is>
          <t>KRONOBERGS LÄN</t>
        </is>
      </c>
      <c r="G206" t="inlineStr">
        <is>
          <t>ALVESTA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46306</v>
      </c>
      <c r="F207" t="inlineStr">
        <is>
          <t>KRONOBERGS LÄN</t>
        </is>
      </c>
      <c r="G207" t="inlineStr">
        <is>
          <t>ALVESTA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45518</v>
      </c>
      <c r="E208" s="1" t="n">
        <v>46306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46306</v>
      </c>
      <c r="F209" t="inlineStr">
        <is>
          <t>KRONOBERGS LÄN</t>
        </is>
      </c>
      <c r="G209" t="inlineStr">
        <is>
          <t>ALVESTA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46306</v>
      </c>
      <c r="F210" t="inlineStr">
        <is>
          <t>KRONOBERGS LÄN</t>
        </is>
      </c>
      <c r="G210" t="inlineStr">
        <is>
          <t>ALVESTA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46306</v>
      </c>
      <c r="F211" t="inlineStr">
        <is>
          <t>KRONOBERGS LÄN</t>
        </is>
      </c>
      <c r="G211" t="inlineStr">
        <is>
          <t>ALVESTA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45418</v>
      </c>
      <c r="E212" s="1" t="n">
        <v>46306</v>
      </c>
      <c r="F212" t="inlineStr">
        <is>
          <t>KRONOBERGS LÄN</t>
        </is>
      </c>
      <c r="G212" t="inlineStr">
        <is>
          <t>ALVESTA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46306</v>
      </c>
      <c r="F213" t="inlineStr">
        <is>
          <t>KRONOBERGS LÄN</t>
        </is>
      </c>
      <c r="G213" t="inlineStr">
        <is>
          <t>ALVESTA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46306</v>
      </c>
      <c r="F214" t="inlineStr">
        <is>
          <t>KRONOBERGS LÄN</t>
        </is>
      </c>
      <c r="G214" t="inlineStr">
        <is>
          <t>ALVESTA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46306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44656</v>
      </c>
      <c r="E216" s="1" t="n">
        <v>46306</v>
      </c>
      <c r="F216" t="inlineStr">
        <is>
          <t>KRONOBERGS LÄN</t>
        </is>
      </c>
      <c r="G216" t="inlineStr">
        <is>
          <t>ALVESTA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46306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46306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44818-2024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45574</v>
      </c>
      <c r="E219" s="1" t="n">
        <v>46306</v>
      </c>
      <c r="F219" t="inlineStr">
        <is>
          <t>KRONOBERGS LÄN</t>
        </is>
      </c>
      <c r="G219" t="inlineStr">
        <is>
          <t>ALVESTA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46306</v>
      </c>
      <c r="F220" t="inlineStr">
        <is>
          <t>KRONOBERGS LÄN</t>
        </is>
      </c>
      <c r="G220" t="inlineStr">
        <is>
          <t>ALVESTA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45563</v>
      </c>
      <c r="E221" s="1" t="n">
        <v>46306</v>
      </c>
      <c r="F221" t="inlineStr">
        <is>
          <t>KRONOBERGS LÄN</t>
        </is>
      </c>
      <c r="G221" t="inlineStr">
        <is>
          <t>ALVESTA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46306</v>
      </c>
      <c r="F222" t="inlineStr">
        <is>
          <t>KRONOBERGS LÄN</t>
        </is>
      </c>
      <c r="G222" t="inlineStr">
        <is>
          <t>ALVESTA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46306</v>
      </c>
      <c r="F223" t="inlineStr">
        <is>
          <t>KRONOBERGS LÄN</t>
        </is>
      </c>
      <c r="G223" t="inlineStr">
        <is>
          <t>ALVESTA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46306</v>
      </c>
      <c r="F224" t="inlineStr">
        <is>
          <t>KRONOBERGS LÄN</t>
        </is>
      </c>
      <c r="G224" t="inlineStr">
        <is>
          <t>ALVESTA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46306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45418</v>
      </c>
      <c r="E226" s="1" t="n">
        <v>46306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46306</v>
      </c>
      <c r="F227" t="inlineStr">
        <is>
          <t>KRONOBERGS LÄN</t>
        </is>
      </c>
      <c r="G227" t="inlineStr">
        <is>
          <t>ALVESTA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9687-2024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45362</v>
      </c>
      <c r="E228" s="1" t="n">
        <v>46306</v>
      </c>
      <c r="F228" t="inlineStr">
        <is>
          <t>KRONOBERGS LÄN</t>
        </is>
      </c>
      <c r="G228" t="inlineStr">
        <is>
          <t>ALVESTA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46306</v>
      </c>
      <c r="F229" t="inlineStr">
        <is>
          <t>KRONOBERGS LÄN</t>
        </is>
      </c>
      <c r="G229" t="inlineStr">
        <is>
          <t>ALVESTA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45616</v>
      </c>
      <c r="E230" s="1" t="n">
        <v>46306</v>
      </c>
      <c r="F230" t="inlineStr">
        <is>
          <t>KRONOBERGS LÄN</t>
        </is>
      </c>
      <c r="G230" t="inlineStr">
        <is>
          <t>ALVESTA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46306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44528-2025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45916</v>
      </c>
      <c r="E232" s="1" t="n">
        <v>46306</v>
      </c>
      <c r="F232" t="inlineStr">
        <is>
          <t>KRONOBERGS LÄN</t>
        </is>
      </c>
      <c r="G232" t="inlineStr">
        <is>
          <t>ALVESTA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46306</v>
      </c>
      <c r="F233" t="inlineStr">
        <is>
          <t>KRONOBERGS LÄN</t>
        </is>
      </c>
      <c r="G233" t="inlineStr">
        <is>
          <t>ALVESTA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46306</v>
      </c>
      <c r="F234" t="inlineStr">
        <is>
          <t>KRONOBERGS LÄN</t>
        </is>
      </c>
      <c r="G234" t="inlineStr">
        <is>
          <t>ALVESTA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46306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46306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46306</v>
      </c>
      <c r="F237" t="inlineStr">
        <is>
          <t>KRONOBERGS LÄN</t>
        </is>
      </c>
      <c r="G237" t="inlineStr">
        <is>
          <t>ALVESTA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46306</v>
      </c>
      <c r="F238" t="inlineStr">
        <is>
          <t>KRONOBERGS LÄN</t>
        </is>
      </c>
      <c r="G238" t="inlineStr">
        <is>
          <t>ALVESTA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46306</v>
      </c>
      <c r="F239" t="inlineStr">
        <is>
          <t>KRONOBERGS LÄN</t>
        </is>
      </c>
      <c r="G239" t="inlineStr">
        <is>
          <t>ALVESTA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45407</v>
      </c>
      <c r="E240" s="1" t="n">
        <v>46306</v>
      </c>
      <c r="F240" t="inlineStr">
        <is>
          <t>KRONOBERGS LÄN</t>
        </is>
      </c>
      <c r="G240" t="inlineStr">
        <is>
          <t>ALVESTA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46306</v>
      </c>
      <c r="F241" t="inlineStr">
        <is>
          <t>KRONOBERGS LÄN</t>
        </is>
      </c>
      <c r="G241" t="inlineStr">
        <is>
          <t>ALVESTA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45447</v>
      </c>
      <c r="E242" s="1" t="n">
        <v>46306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46306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45517</v>
      </c>
      <c r="E244" s="1" t="n">
        <v>46306</v>
      </c>
      <c r="F244" t="inlineStr">
        <is>
          <t>KRONOBERGS LÄN</t>
        </is>
      </c>
      <c r="G244" t="inlineStr">
        <is>
          <t>ALVESTA</t>
        </is>
      </c>
      <c r="H244" t="inlineStr">
        <is>
          <t>Kyrkan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45548</v>
      </c>
      <c r="E245" s="1" t="n">
        <v>46306</v>
      </c>
      <c r="F245" t="inlineStr">
        <is>
          <t>KRONOBERGS LÄN</t>
        </is>
      </c>
      <c r="G245" t="inlineStr">
        <is>
          <t>ALVESTA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45524</v>
      </c>
      <c r="E246" s="1" t="n">
        <v>46306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46306</v>
      </c>
      <c r="F247" t="inlineStr">
        <is>
          <t>KRONOBERGS LÄN</t>
        </is>
      </c>
      <c r="G247" t="inlineStr">
        <is>
          <t>ALVESTA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45418</v>
      </c>
      <c r="E248" s="1" t="n">
        <v>46306</v>
      </c>
      <c r="F248" t="inlineStr">
        <is>
          <t>KRONOBERGS LÄN</t>
        </is>
      </c>
      <c r="G248" t="inlineStr">
        <is>
          <t>ALVESTA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46306</v>
      </c>
      <c r="F249" t="inlineStr">
        <is>
          <t>KRONOBERGS LÄN</t>
        </is>
      </c>
      <c r="G249" t="inlineStr">
        <is>
          <t>ALVESTA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46306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46306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45546</v>
      </c>
      <c r="E252" s="1" t="n">
        <v>46306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45699</v>
      </c>
      <c r="E253" s="1" t="n">
        <v>46306</v>
      </c>
      <c r="F253" t="inlineStr">
        <is>
          <t>KRONOBERGS LÄN</t>
        </is>
      </c>
      <c r="G253" t="inlineStr">
        <is>
          <t>ALVESTA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45613</v>
      </c>
      <c r="E254" s="1" t="n">
        <v>46306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46306</v>
      </c>
      <c r="F255" t="inlineStr">
        <is>
          <t>KRONOBERGS LÄN</t>
        </is>
      </c>
      <c r="G255" t="inlineStr">
        <is>
          <t>ALVESTA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46306</v>
      </c>
      <c r="F256" t="inlineStr">
        <is>
          <t>KRONOBERGS LÄN</t>
        </is>
      </c>
      <c r="G256" t="inlineStr">
        <is>
          <t>ALVESTA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46306</v>
      </c>
      <c r="F257" t="inlineStr">
        <is>
          <t>KRONOBERGS LÄN</t>
        </is>
      </c>
      <c r="G257" t="inlineStr">
        <is>
          <t>ALVESTA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45860</v>
      </c>
      <c r="E258" s="1" t="n">
        <v>46306</v>
      </c>
      <c r="F258" t="inlineStr">
        <is>
          <t>KRONOBERGS LÄN</t>
        </is>
      </c>
      <c r="G258" t="inlineStr">
        <is>
          <t>ALVESTA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46306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46306</v>
      </c>
      <c r="F260" t="inlineStr">
        <is>
          <t>KRONOBERGS LÄN</t>
        </is>
      </c>
      <c r="G260" t="inlineStr">
        <is>
          <t>ALVESTA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46306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44838</v>
      </c>
      <c r="E262" s="1" t="n">
        <v>46306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44998</v>
      </c>
      <c r="E263" s="1" t="n">
        <v>46306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46306</v>
      </c>
      <c r="F264" t="inlineStr">
        <is>
          <t>KRONOBERGS LÄN</t>
        </is>
      </c>
      <c r="G264" t="inlineStr">
        <is>
          <t>ALVESTA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46306</v>
      </c>
      <c r="F265" t="inlineStr">
        <is>
          <t>KRONOBERGS LÄN</t>
        </is>
      </c>
      <c r="G265" t="inlineStr">
        <is>
          <t>ALVESTA</t>
        </is>
      </c>
      <c r="H265" t="inlineStr">
        <is>
          <t>Övriga Aktiebolag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45705</v>
      </c>
      <c r="E266" s="1" t="n">
        <v>46306</v>
      </c>
      <c r="F266" t="inlineStr">
        <is>
          <t>KRONOBERGS LÄN</t>
        </is>
      </c>
      <c r="G266" t="inlineStr">
        <is>
          <t>ALVESTA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46306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45447</v>
      </c>
      <c r="E268" s="1" t="n">
        <v>46306</v>
      </c>
      <c r="F268" t="inlineStr">
        <is>
          <t>KRONOBERGS LÄN</t>
        </is>
      </c>
      <c r="G268" t="inlineStr">
        <is>
          <t>ALVESTA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46306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46306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45565</v>
      </c>
      <c r="E271" s="1" t="n">
        <v>46306</v>
      </c>
      <c r="F271" t="inlineStr">
        <is>
          <t>KRONOBERGS LÄN</t>
        </is>
      </c>
      <c r="G271" t="inlineStr">
        <is>
          <t>ALVESTA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45114</v>
      </c>
      <c r="E272" s="1" t="n">
        <v>46306</v>
      </c>
      <c r="F272" t="inlineStr">
        <is>
          <t>KRONOBERGS LÄN</t>
        </is>
      </c>
      <c r="G272" t="inlineStr">
        <is>
          <t>ALVESTA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44569</v>
      </c>
      <c r="E273" s="1" t="n">
        <v>46306</v>
      </c>
      <c r="F273" t="inlineStr">
        <is>
          <t>KRONOBERGS LÄN</t>
        </is>
      </c>
      <c r="G273" t="inlineStr">
        <is>
          <t>ALVESTA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46306</v>
      </c>
      <c r="F274" t="inlineStr">
        <is>
          <t>KRONOBERGS LÄN</t>
        </is>
      </c>
      <c r="G274" t="inlineStr">
        <is>
          <t>ALVESTA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12818-2025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45733</v>
      </c>
      <c r="E275" s="1" t="n">
        <v>46306</v>
      </c>
      <c r="F275" t="inlineStr">
        <is>
          <t>KRONOBERGS LÄN</t>
        </is>
      </c>
      <c r="G275" t="inlineStr">
        <is>
          <t>ALVESTA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46306</v>
      </c>
      <c r="F276" t="inlineStr">
        <is>
          <t>KRONOBERGS LÄN</t>
        </is>
      </c>
      <c r="G276" t="inlineStr">
        <is>
          <t>ALVESTA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46306</v>
      </c>
      <c r="F277" t="inlineStr">
        <is>
          <t>KRONOBERGS LÄN</t>
        </is>
      </c>
      <c r="G277" t="inlineStr">
        <is>
          <t>ALVESTA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46306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46306</v>
      </c>
      <c r="F279" t="inlineStr">
        <is>
          <t>KRONOBERGS LÄN</t>
        </is>
      </c>
      <c r="G279" t="inlineStr">
        <is>
          <t>ALVESTA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45544</v>
      </c>
      <c r="E280" s="1" t="n">
        <v>46306</v>
      </c>
      <c r="F280" t="inlineStr">
        <is>
          <t>KRONOBERGS LÄN</t>
        </is>
      </c>
      <c r="G280" t="inlineStr">
        <is>
          <t>ALVESTA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46306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45338</v>
      </c>
      <c r="E282" s="1" t="n">
        <v>46306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46306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46306</v>
      </c>
      <c r="F284" t="inlineStr">
        <is>
          <t>KRONOBERGS LÄN</t>
        </is>
      </c>
      <c r="G284" t="inlineStr">
        <is>
          <t>ALVESTA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52040-2024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46306</v>
      </c>
      <c r="F285" t="inlineStr">
        <is>
          <t>KRONOBERGS LÄN</t>
        </is>
      </c>
      <c r="G285" t="inlineStr">
        <is>
          <t>ALVESTA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45338</v>
      </c>
      <c r="E286" s="1" t="n">
        <v>46306</v>
      </c>
      <c r="F286" t="inlineStr">
        <is>
          <t>KRONOBERGS LÄN</t>
        </is>
      </c>
      <c r="G286" t="inlineStr">
        <is>
          <t>ALVESTA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46306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45345</v>
      </c>
      <c r="E288" s="1" t="n">
        <v>46306</v>
      </c>
      <c r="F288" t="inlineStr">
        <is>
          <t>KRONOBERGS LÄN</t>
        </is>
      </c>
      <c r="G288" t="inlineStr">
        <is>
          <t>ALVESTA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46306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25220-2025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45798</v>
      </c>
      <c r="E290" s="1" t="n">
        <v>46306</v>
      </c>
      <c r="F290" t="inlineStr">
        <is>
          <t>KRONOBERGS LÄN</t>
        </is>
      </c>
      <c r="G290" t="inlineStr">
        <is>
          <t>ALVESTA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46306</v>
      </c>
      <c r="F291" t="inlineStr">
        <is>
          <t>KRONOBERGS LÄN</t>
        </is>
      </c>
      <c r="G291" t="inlineStr">
        <is>
          <t>ALVESTA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67331-2021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46306</v>
      </c>
      <c r="F292" t="inlineStr">
        <is>
          <t>KRONOBERGS LÄN</t>
        </is>
      </c>
      <c r="G292" t="inlineStr">
        <is>
          <t>ALVESTA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46306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45015</v>
      </c>
      <c r="E294" s="1" t="n">
        <v>46306</v>
      </c>
      <c r="F294" t="inlineStr">
        <is>
          <t>KRONOBERGS LÄN</t>
        </is>
      </c>
      <c r="G294" t="inlineStr">
        <is>
          <t>ALVESTA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46306</v>
      </c>
      <c r="F295" t="inlineStr">
        <is>
          <t>KRONOBERGS LÄN</t>
        </is>
      </c>
      <c r="G295" t="inlineStr">
        <is>
          <t>ALVESTA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46306</v>
      </c>
      <c r="F296" t="inlineStr">
        <is>
          <t>KRONOBERGS LÄN</t>
        </is>
      </c>
      <c r="G296" t="inlineStr">
        <is>
          <t>ALVESTA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46306</v>
      </c>
      <c r="F297" t="inlineStr">
        <is>
          <t>KRONOBERGS LÄN</t>
        </is>
      </c>
      <c r="G297" t="inlineStr">
        <is>
          <t>ALVESTA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44490</v>
      </c>
      <c r="E298" s="1" t="n">
        <v>46306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45518</v>
      </c>
      <c r="E299" s="1" t="n">
        <v>46306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46306</v>
      </c>
      <c r="F300" t="inlineStr">
        <is>
          <t>KRONOBERGS LÄN</t>
        </is>
      </c>
      <c r="G300" t="inlineStr">
        <is>
          <t>ALVESTA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46306</v>
      </c>
      <c r="F301" t="inlineStr">
        <is>
          <t>KRONOBERGS LÄN</t>
        </is>
      </c>
      <c r="G301" t="inlineStr">
        <is>
          <t>ALVESTA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46306</v>
      </c>
      <c r="F302" t="inlineStr">
        <is>
          <t>KRONOBERGS LÄN</t>
        </is>
      </c>
      <c r="G302" t="inlineStr">
        <is>
          <t>ALVESTA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45800</v>
      </c>
      <c r="E303" s="1" t="n">
        <v>46306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6489-2022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44601</v>
      </c>
      <c r="E304" s="1" t="n">
        <v>46306</v>
      </c>
      <c r="F304" t="inlineStr">
        <is>
          <t>KRONOBERGS LÄN</t>
        </is>
      </c>
      <c r="G304" t="inlineStr">
        <is>
          <t>ALVESTA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46306</v>
      </c>
      <c r="F305" t="inlineStr">
        <is>
          <t>KRONOBERGS LÄN</t>
        </is>
      </c>
      <c r="G305" t="inlineStr">
        <is>
          <t>ALVESTA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46306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46306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46306</v>
      </c>
      <c r="F308" t="inlineStr">
        <is>
          <t>KRONOBERGS LÄN</t>
        </is>
      </c>
      <c r="G308" t="inlineStr">
        <is>
          <t>ALVESTA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38765-2022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44816</v>
      </c>
      <c r="E309" s="1" t="n">
        <v>46306</v>
      </c>
      <c r="F309" t="inlineStr">
        <is>
          <t>KRONOBERGS LÄN</t>
        </is>
      </c>
      <c r="G309" t="inlineStr">
        <is>
          <t>ALVESTA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45476</v>
      </c>
      <c r="E310" s="1" t="n">
        <v>46306</v>
      </c>
      <c r="F310" t="inlineStr">
        <is>
          <t>KRONOBERGS LÄN</t>
        </is>
      </c>
      <c r="G310" t="inlineStr">
        <is>
          <t>ALVESTA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46306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45259</v>
      </c>
      <c r="E312" s="1" t="n">
        <v>46306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46306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46306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45095</v>
      </c>
      <c r="E315" s="1" t="n">
        <v>46306</v>
      </c>
      <c r="F315" t="inlineStr">
        <is>
          <t>KRONOBERGS LÄN</t>
        </is>
      </c>
      <c r="G315" t="inlineStr">
        <is>
          <t>ALVESTA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46306</v>
      </c>
      <c r="F316" t="inlineStr">
        <is>
          <t>KRONOBERGS LÄN</t>
        </is>
      </c>
      <c r="G316" t="inlineStr">
        <is>
          <t>ALVESTA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45400</v>
      </c>
      <c r="E317" s="1" t="n">
        <v>46306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46306</v>
      </c>
      <c r="F318" t="inlineStr">
        <is>
          <t>KRONOBERGS LÄN</t>
        </is>
      </c>
      <c r="G318" t="inlineStr">
        <is>
          <t>ALVESTA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46306</v>
      </c>
      <c r="F319" t="inlineStr">
        <is>
          <t>KRONOBERGS LÄN</t>
        </is>
      </c>
      <c r="G319" t="inlineStr">
        <is>
          <t>ALVESTA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46306</v>
      </c>
      <c r="F320" t="inlineStr">
        <is>
          <t>KRONOBERGS LÄN</t>
        </is>
      </c>
      <c r="G320" t="inlineStr">
        <is>
          <t>ALVESTA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46306</v>
      </c>
      <c r="F321" t="inlineStr">
        <is>
          <t>KRONOBERGS LÄN</t>
        </is>
      </c>
      <c r="G321" t="inlineStr">
        <is>
          <t>ALVESTA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46306</v>
      </c>
      <c r="F322" t="inlineStr">
        <is>
          <t>KRONOBERGS LÄN</t>
        </is>
      </c>
      <c r="G322" t="inlineStr">
        <is>
          <t>ALVESTA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46306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46306</v>
      </c>
      <c r="F324" t="inlineStr">
        <is>
          <t>KRONOBERGS LÄN</t>
        </is>
      </c>
      <c r="G324" t="inlineStr">
        <is>
          <t>ALVESTA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46306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44735</v>
      </c>
      <c r="E326" s="1" t="n">
        <v>46306</v>
      </c>
      <c r="F326" t="inlineStr">
        <is>
          <t>KRONOBERGS LÄN</t>
        </is>
      </c>
      <c r="G326" t="inlineStr">
        <is>
          <t>ALVESTA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61902-2024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45653</v>
      </c>
      <c r="E327" s="1" t="n">
        <v>46306</v>
      </c>
      <c r="F327" t="inlineStr">
        <is>
          <t>KRONOBERGS LÄN</t>
        </is>
      </c>
      <c r="G327" t="inlineStr">
        <is>
          <t>ALVESTA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46306</v>
      </c>
      <c r="F328" t="inlineStr">
        <is>
          <t>KRONOBERGS LÄN</t>
        </is>
      </c>
      <c r="G328" t="inlineStr">
        <is>
          <t>ALVESTA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45426</v>
      </c>
      <c r="E329" s="1" t="n">
        <v>46306</v>
      </c>
      <c r="F329" t="inlineStr">
        <is>
          <t>KRONOBERGS LÄN</t>
        </is>
      </c>
      <c r="G329" t="inlineStr">
        <is>
          <t>ALVESTA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46306</v>
      </c>
      <c r="F330" t="inlineStr">
        <is>
          <t>KRONOBERGS LÄN</t>
        </is>
      </c>
      <c r="G330" t="inlineStr">
        <is>
          <t>ALVESTA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46306</v>
      </c>
      <c r="F331" t="inlineStr">
        <is>
          <t>KRONOBERGS LÄN</t>
        </is>
      </c>
      <c r="G331" t="inlineStr">
        <is>
          <t>ALVESTA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46306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46306</v>
      </c>
      <c r="F333" t="inlineStr">
        <is>
          <t>KRONOBERGS LÄN</t>
        </is>
      </c>
      <c r="G333" t="inlineStr">
        <is>
          <t>ALVESTA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45825</v>
      </c>
      <c r="E334" s="1" t="n">
        <v>46306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46306</v>
      </c>
      <c r="F335" t="inlineStr">
        <is>
          <t>KRONOBERGS LÄN</t>
        </is>
      </c>
      <c r="G335" t="inlineStr">
        <is>
          <t>ALVESTA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46306</v>
      </c>
      <c r="F336" t="inlineStr">
        <is>
          <t>KRONOBERGS LÄN</t>
        </is>
      </c>
      <c r="G336" t="inlineStr">
        <is>
          <t>ALVESTA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46306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46306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44991</v>
      </c>
      <c r="E339" s="1" t="n">
        <v>46306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46306</v>
      </c>
      <c r="F340" t="inlineStr">
        <is>
          <t>KRONOBERGS LÄN</t>
        </is>
      </c>
      <c r="G340" t="inlineStr">
        <is>
          <t>ALVESTA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46306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46306</v>
      </c>
      <c r="F342" t="inlineStr">
        <is>
          <t>KRONOBERGS LÄN</t>
        </is>
      </c>
      <c r="G342" t="inlineStr">
        <is>
          <t>ALVESTA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46306</v>
      </c>
      <c r="F343" t="inlineStr">
        <is>
          <t>KRONOBERGS LÄN</t>
        </is>
      </c>
      <c r="G343" t="inlineStr">
        <is>
          <t>ALVESTA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44735</v>
      </c>
      <c r="E344" s="1" t="n">
        <v>46306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45153</v>
      </c>
      <c r="E345" s="1" t="n">
        <v>46306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45153</v>
      </c>
      <c r="E346" s="1" t="n">
        <v>46306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46306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46306</v>
      </c>
      <c r="F348" t="inlineStr">
        <is>
          <t>KRONOBERGS LÄN</t>
        </is>
      </c>
      <c r="G348" t="inlineStr">
        <is>
          <t>ALVESTA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46306</v>
      </c>
      <c r="F349" t="inlineStr">
        <is>
          <t>KRONOBERGS LÄN</t>
        </is>
      </c>
      <c r="G349" t="inlineStr">
        <is>
          <t>ALVESTA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46306</v>
      </c>
      <c r="F350" t="inlineStr">
        <is>
          <t>KRONOBERGS LÄN</t>
        </is>
      </c>
      <c r="G350" t="inlineStr">
        <is>
          <t>ALVESTA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46306</v>
      </c>
      <c r="F351" t="inlineStr">
        <is>
          <t>KRONOBERGS LÄN</t>
        </is>
      </c>
      <c r="G351" t="inlineStr">
        <is>
          <t>ALVESTA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31439-2025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46306</v>
      </c>
      <c r="F352" t="inlineStr">
        <is>
          <t>KRONOBERGS LÄN</t>
        </is>
      </c>
      <c r="G352" t="inlineStr">
        <is>
          <t>ALVESTA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46306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46306</v>
      </c>
      <c r="F354" t="inlineStr">
        <is>
          <t>KRONOBERGS LÄN</t>
        </is>
      </c>
      <c r="G354" t="inlineStr">
        <is>
          <t>ALVESTA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46306</v>
      </c>
      <c r="F355" t="inlineStr">
        <is>
          <t>KRONOBERGS LÄN</t>
        </is>
      </c>
      <c r="G355" t="inlineStr">
        <is>
          <t>ALVESTA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46306</v>
      </c>
      <c r="F356" t="inlineStr">
        <is>
          <t>KRONOBERGS LÄN</t>
        </is>
      </c>
      <c r="G356" t="inlineStr">
        <is>
          <t>ALVESTA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39263-2023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45166</v>
      </c>
      <c r="E357" s="1" t="n">
        <v>46306</v>
      </c>
      <c r="F357" t="inlineStr">
        <is>
          <t>KRONOBERGS LÄN</t>
        </is>
      </c>
      <c r="G357" t="inlineStr">
        <is>
          <t>ALVESTA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46306</v>
      </c>
      <c r="F358" t="inlineStr">
        <is>
          <t>KRONOBERGS LÄN</t>
        </is>
      </c>
      <c r="G358" t="inlineStr">
        <is>
          <t>ALVESTA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46306</v>
      </c>
      <c r="F359" t="inlineStr">
        <is>
          <t>KRONOBERGS LÄN</t>
        </is>
      </c>
      <c r="G359" t="inlineStr">
        <is>
          <t>ALVESTA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46306</v>
      </c>
      <c r="F360" t="inlineStr">
        <is>
          <t>KRONOBERGS LÄN</t>
        </is>
      </c>
      <c r="G360" t="inlineStr">
        <is>
          <t>ALVESTA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46306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46306</v>
      </c>
      <c r="F362" t="inlineStr">
        <is>
          <t>KRONOBERGS LÄN</t>
        </is>
      </c>
      <c r="G362" t="inlineStr">
        <is>
          <t>ALVESTA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45288</v>
      </c>
      <c r="E363" s="1" t="n">
        <v>46306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28336-2022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44747</v>
      </c>
      <c r="E364" s="1" t="n">
        <v>46306</v>
      </c>
      <c r="F364" t="inlineStr">
        <is>
          <t>KRONOBERGS LÄN</t>
        </is>
      </c>
      <c r="G364" t="inlineStr">
        <is>
          <t>ALVESTA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45308</v>
      </c>
      <c r="E365" s="1" t="n">
        <v>46306</v>
      </c>
      <c r="F365" t="inlineStr">
        <is>
          <t>KRONOBERGS LÄN</t>
        </is>
      </c>
      <c r="G365" t="inlineStr">
        <is>
          <t>ALVESTA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46306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45149</v>
      </c>
      <c r="E367" s="1" t="n">
        <v>46306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46306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45614</v>
      </c>
      <c r="E369" s="1" t="n">
        <v>46306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45135</v>
      </c>
      <c r="E370" s="1" t="n">
        <v>46306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46306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44783</v>
      </c>
      <c r="E372" s="1" t="n">
        <v>46306</v>
      </c>
      <c r="F372" t="inlineStr">
        <is>
          <t>KRONOBERGS LÄN</t>
        </is>
      </c>
      <c r="G372" t="inlineStr">
        <is>
          <t>ALVESTA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46306</v>
      </c>
      <c r="F373" t="inlineStr">
        <is>
          <t>KRONOBERGS LÄN</t>
        </is>
      </c>
      <c r="G373" t="inlineStr">
        <is>
          <t>ALVESTA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45135</v>
      </c>
      <c r="E374" s="1" t="n">
        <v>46306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46306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46306</v>
      </c>
      <c r="F376" t="inlineStr">
        <is>
          <t>KRONOBERGS LÄN</t>
        </is>
      </c>
      <c r="G376" t="inlineStr">
        <is>
          <t>ALVESTA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45673</v>
      </c>
      <c r="E377" s="1" t="n">
        <v>46306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46306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45635</v>
      </c>
      <c r="E379" s="1" t="n">
        <v>46306</v>
      </c>
      <c r="F379" t="inlineStr">
        <is>
          <t>KRONOBERGS LÄN</t>
        </is>
      </c>
      <c r="G379" t="inlineStr">
        <is>
          <t>ALVESTA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46306</v>
      </c>
      <c r="F380" t="inlineStr">
        <is>
          <t>KRONOBERGS LÄN</t>
        </is>
      </c>
      <c r="G380" t="inlineStr">
        <is>
          <t>ALVESTA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46306</v>
      </c>
      <c r="F381" t="inlineStr">
        <is>
          <t>KRONOBERGS LÄN</t>
        </is>
      </c>
      <c r="G381" t="inlineStr">
        <is>
          <t>ALVESTA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45847</v>
      </c>
      <c r="E382" s="1" t="n">
        <v>46306</v>
      </c>
      <c r="F382" t="inlineStr">
        <is>
          <t>KRONOBERGS LÄN</t>
        </is>
      </c>
      <c r="G382" t="inlineStr">
        <is>
          <t>ALVESTA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46306</v>
      </c>
      <c r="F383" t="inlineStr">
        <is>
          <t>KRONOBERGS LÄN</t>
        </is>
      </c>
      <c r="G383" t="inlineStr">
        <is>
          <t>ALVESTA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45852</v>
      </c>
      <c r="E384" s="1" t="n">
        <v>46306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44820</v>
      </c>
      <c r="E385" s="1" t="n">
        <v>46306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46306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46306</v>
      </c>
      <c r="F387" t="inlineStr">
        <is>
          <t>KRONOBERGS LÄN</t>
        </is>
      </c>
      <c r="G387" t="inlineStr">
        <is>
          <t>ALVESTA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46306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46306</v>
      </c>
      <c r="F389" t="inlineStr">
        <is>
          <t>KRONOBERGS LÄN</t>
        </is>
      </c>
      <c r="G389" t="inlineStr">
        <is>
          <t>ALVESTA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60202-2021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44495</v>
      </c>
      <c r="E390" s="1" t="n">
        <v>46306</v>
      </c>
      <c r="F390" t="inlineStr">
        <is>
          <t>KRONOBERGS LÄN</t>
        </is>
      </c>
      <c r="G390" t="inlineStr">
        <is>
          <t>ALVESTA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46306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45628</v>
      </c>
      <c r="E392" s="1" t="n">
        <v>46306</v>
      </c>
      <c r="F392" t="inlineStr">
        <is>
          <t>KRONOBERGS LÄN</t>
        </is>
      </c>
      <c r="G392" t="inlineStr">
        <is>
          <t>ALVESTA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45113</v>
      </c>
      <c r="E393" s="1" t="n">
        <v>46306</v>
      </c>
      <c r="F393" t="inlineStr">
        <is>
          <t>KRONOBERGS LÄN</t>
        </is>
      </c>
      <c r="G393" t="inlineStr">
        <is>
          <t>ALVESTA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45336</v>
      </c>
      <c r="E394" s="1" t="n">
        <v>46306</v>
      </c>
      <c r="F394" t="inlineStr">
        <is>
          <t>KRONOBERGS LÄN</t>
        </is>
      </c>
      <c r="G394" t="inlineStr">
        <is>
          <t>ALVESTA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45593</v>
      </c>
      <c r="E395" s="1" t="n">
        <v>46306</v>
      </c>
      <c r="F395" t="inlineStr">
        <is>
          <t>KRONOBERGS LÄN</t>
        </is>
      </c>
      <c r="G395" t="inlineStr">
        <is>
          <t>ALVESTA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45349</v>
      </c>
      <c r="E396" s="1" t="n">
        <v>46306</v>
      </c>
      <c r="F396" t="inlineStr">
        <is>
          <t>KRONOBERGS LÄN</t>
        </is>
      </c>
      <c r="G396" t="inlineStr">
        <is>
          <t>ALVESTA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9673-2024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46306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46306</v>
      </c>
      <c r="F398" t="inlineStr">
        <is>
          <t>KRONOBERGS LÄN</t>
        </is>
      </c>
      <c r="G398" t="inlineStr">
        <is>
          <t>ALVESTA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45868</v>
      </c>
      <c r="E399" s="1" t="n">
        <v>46306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45467</v>
      </c>
      <c r="E400" s="1" t="n">
        <v>46306</v>
      </c>
      <c r="F400" t="inlineStr">
        <is>
          <t>KRONOBERGS LÄN</t>
        </is>
      </c>
      <c r="G400" t="inlineStr">
        <is>
          <t>ALVESTA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46306</v>
      </c>
      <c r="F401" t="inlineStr">
        <is>
          <t>KRONOBERGS LÄN</t>
        </is>
      </c>
      <c r="G401" t="inlineStr">
        <is>
          <t>ALVESTA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46306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45330</v>
      </c>
      <c r="E403" s="1" t="n">
        <v>46306</v>
      </c>
      <c r="F403" t="inlineStr">
        <is>
          <t>KRONOBERGS LÄN</t>
        </is>
      </c>
      <c r="G403" t="inlineStr">
        <is>
          <t>ALVESTA</t>
        </is>
      </c>
      <c r="H403" t="inlineStr">
        <is>
          <t>Övriga Aktiebolag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44670</v>
      </c>
      <c r="E404" s="1" t="n">
        <v>46306</v>
      </c>
      <c r="F404" t="inlineStr">
        <is>
          <t>KRONOBERGS LÄN</t>
        </is>
      </c>
      <c r="G404" t="inlineStr">
        <is>
          <t>ALVESTA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45476</v>
      </c>
      <c r="E405" s="1" t="n">
        <v>46306</v>
      </c>
      <c r="F405" t="inlineStr">
        <is>
          <t>KRONOBERGS LÄN</t>
        </is>
      </c>
      <c r="G405" t="inlineStr">
        <is>
          <t>ALVESTA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46306</v>
      </c>
      <c r="F406" t="inlineStr">
        <is>
          <t>KRONOBERGS LÄN</t>
        </is>
      </c>
      <c r="G406" t="inlineStr">
        <is>
          <t>ALVESTA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46306</v>
      </c>
      <c r="F407" t="inlineStr">
        <is>
          <t>KRONOBERGS LÄN</t>
        </is>
      </c>
      <c r="G407" t="inlineStr">
        <is>
          <t>ALVESTA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45217</v>
      </c>
      <c r="E408" s="1" t="n">
        <v>46306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25261-2024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45462</v>
      </c>
      <c r="E409" s="1" t="n">
        <v>46306</v>
      </c>
      <c r="F409" t="inlineStr">
        <is>
          <t>KRONOBERGS LÄN</t>
        </is>
      </c>
      <c r="G409" t="inlineStr">
        <is>
          <t>ALVESTA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45979</v>
      </c>
      <c r="E410" s="1" t="n">
        <v>46306</v>
      </c>
      <c r="F410" t="inlineStr">
        <is>
          <t>KRONOBERGS LÄN</t>
        </is>
      </c>
      <c r="G410" t="inlineStr">
        <is>
          <t>ALVESTA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45875</v>
      </c>
      <c r="E411" s="1" t="n">
        <v>46306</v>
      </c>
      <c r="F411" t="inlineStr">
        <is>
          <t>KRONOBERGS LÄN</t>
        </is>
      </c>
      <c r="G411" t="inlineStr">
        <is>
          <t>ALVESTA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46306</v>
      </c>
      <c r="F412" t="inlineStr">
        <is>
          <t>KRONOBERGS LÄN</t>
        </is>
      </c>
      <c r="G412" t="inlineStr">
        <is>
          <t>ALVESTA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46306</v>
      </c>
      <c r="F413" t="inlineStr">
        <is>
          <t>KRONOBERGS LÄN</t>
        </is>
      </c>
      <c r="G413" t="inlineStr">
        <is>
          <t>ALVESTA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46306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46306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46306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39307-2023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46306</v>
      </c>
      <c r="F417" t="inlineStr">
        <is>
          <t>KRONOBERGS LÄN</t>
        </is>
      </c>
      <c r="G417" t="inlineStr">
        <is>
          <t>ALVESTA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46306</v>
      </c>
      <c r="F418" t="inlineStr">
        <is>
          <t>KRONOBERGS LÄN</t>
        </is>
      </c>
      <c r="G418" t="inlineStr">
        <is>
          <t>ALVESTA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14043-2025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46306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46306</v>
      </c>
      <c r="F420" t="inlineStr">
        <is>
          <t>KRONOBERGS LÄN</t>
        </is>
      </c>
      <c r="G420" t="inlineStr">
        <is>
          <t>ALVESTA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45136</v>
      </c>
      <c r="E421" s="1" t="n">
        <v>46306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46306</v>
      </c>
      <c r="F422" t="inlineStr">
        <is>
          <t>KRONOBERGS LÄN</t>
        </is>
      </c>
      <c r="G422" t="inlineStr">
        <is>
          <t>ALVESTA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44895</v>
      </c>
      <c r="E423" s="1" t="n">
        <v>46306</v>
      </c>
      <c r="F423" t="inlineStr">
        <is>
          <t>KRONOBERGS LÄN</t>
        </is>
      </c>
      <c r="G423" t="inlineStr">
        <is>
          <t>ALVESTA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46306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45338</v>
      </c>
      <c r="E425" s="1" t="n">
        <v>46306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46306</v>
      </c>
      <c r="F426" t="inlineStr">
        <is>
          <t>KRONOBERGS LÄN</t>
        </is>
      </c>
      <c r="G426" t="inlineStr">
        <is>
          <t>ALVESTA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46306</v>
      </c>
      <c r="F427" t="inlineStr">
        <is>
          <t>KRONOBERGS LÄN</t>
        </is>
      </c>
      <c r="G427" t="inlineStr">
        <is>
          <t>ALVESTA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36750-2022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46306</v>
      </c>
      <c r="F428" t="inlineStr">
        <is>
          <t>KRONOBERGS LÄN</t>
        </is>
      </c>
      <c r="G428" t="inlineStr">
        <is>
          <t>ALVESTA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46306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46306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46306</v>
      </c>
      <c r="F431" t="inlineStr">
        <is>
          <t>KRONOBERGS LÄN</t>
        </is>
      </c>
      <c r="G431" t="inlineStr">
        <is>
          <t>ALVESTA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45524</v>
      </c>
      <c r="E432" s="1" t="n">
        <v>46306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45302</v>
      </c>
      <c r="E433" s="1" t="n">
        <v>46306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46306</v>
      </c>
      <c r="F434" t="inlineStr">
        <is>
          <t>KRONOBERGS LÄN</t>
        </is>
      </c>
      <c r="G434" t="inlineStr">
        <is>
          <t>ALVESTA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45532</v>
      </c>
      <c r="E435" s="1" t="n">
        <v>46306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45247</v>
      </c>
      <c r="E436" s="1" t="n">
        <v>46306</v>
      </c>
      <c r="F436" t="inlineStr">
        <is>
          <t>KRONOBERGS LÄN</t>
        </is>
      </c>
      <c r="G436" t="inlineStr">
        <is>
          <t>ALVESTA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30699-2023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46306</v>
      </c>
      <c r="F437" t="inlineStr">
        <is>
          <t>KRONOBERGS LÄN</t>
        </is>
      </c>
      <c r="G437" t="inlineStr">
        <is>
          <t>ALVESTA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45532</v>
      </c>
      <c r="E438" s="1" t="n">
        <v>46306</v>
      </c>
      <c r="F438" t="inlineStr">
        <is>
          <t>KRONOBERGS LÄN</t>
        </is>
      </c>
      <c r="G438" t="inlineStr">
        <is>
          <t>ALVESTA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46306</v>
      </c>
      <c r="F439" t="inlineStr">
        <is>
          <t>KRONOBERGS LÄN</t>
        </is>
      </c>
      <c r="G439" t="inlineStr">
        <is>
          <t>ALVESTA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46306</v>
      </c>
      <c r="F440" t="inlineStr">
        <is>
          <t>KRONOBERGS LÄN</t>
        </is>
      </c>
      <c r="G440" t="inlineStr">
        <is>
          <t>ALVESTA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46306</v>
      </c>
      <c r="F441" t="inlineStr">
        <is>
          <t>KRONOBERGS LÄN</t>
        </is>
      </c>
      <c r="G441" t="inlineStr">
        <is>
          <t>ALVESTA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11912-2022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44635</v>
      </c>
      <c r="E442" s="1" t="n">
        <v>46306</v>
      </c>
      <c r="F442" t="inlineStr">
        <is>
          <t>KRONOBERGS LÄN</t>
        </is>
      </c>
      <c r="G442" t="inlineStr">
        <is>
          <t>ALVESTA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46306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46306</v>
      </c>
      <c r="F444" t="inlineStr">
        <is>
          <t>KRONOBERGS LÄN</t>
        </is>
      </c>
      <c r="G444" t="inlineStr">
        <is>
          <t>ALVESTA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51210-2022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44868</v>
      </c>
      <c r="E445" s="1" t="n">
        <v>46306</v>
      </c>
      <c r="F445" t="inlineStr">
        <is>
          <t>KRONOBERGS LÄN</t>
        </is>
      </c>
      <c r="G445" t="inlineStr">
        <is>
          <t>ALVESTA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46306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44991</v>
      </c>
      <c r="E447" s="1" t="n">
        <v>46306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46306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17823-2026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46122</v>
      </c>
      <c r="E449" s="1" t="n">
        <v>46306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46306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60700-2025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45996</v>
      </c>
      <c r="E451" s="1" t="n">
        <v>46306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17801-2026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46122</v>
      </c>
      <c r="E452" s="1" t="n">
        <v>46306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46306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46306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45336</v>
      </c>
      <c r="E455" s="1" t="n">
        <v>46306</v>
      </c>
      <c r="F455" t="inlineStr">
        <is>
          <t>KRONOBERGS LÄN</t>
        </is>
      </c>
      <c r="G455" t="inlineStr">
        <is>
          <t>ALVESTA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46306</v>
      </c>
      <c r="F456" t="inlineStr">
        <is>
          <t>KRONOBERGS LÄN</t>
        </is>
      </c>
      <c r="G456" t="inlineStr">
        <is>
          <t>ALVESTA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46306</v>
      </c>
      <c r="F457" t="inlineStr">
        <is>
          <t>KRONOBERGS LÄN</t>
        </is>
      </c>
      <c r="G457" t="inlineStr">
        <is>
          <t>ALVESTA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45436</v>
      </c>
      <c r="E458" s="1" t="n">
        <v>46306</v>
      </c>
      <c r="F458" t="inlineStr">
        <is>
          <t>KRONOBERGS LÄN</t>
        </is>
      </c>
      <c r="G458" t="inlineStr">
        <is>
          <t>ALVESTA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46306</v>
      </c>
      <c r="F459" t="inlineStr">
        <is>
          <t>KRONOBERGS LÄN</t>
        </is>
      </c>
      <c r="G459" t="inlineStr">
        <is>
          <t>ALVESTA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46306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46306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45471</v>
      </c>
      <c r="E462" s="1" t="n">
        <v>46306</v>
      </c>
      <c r="F462" t="inlineStr">
        <is>
          <t>KRONOBERGS LÄN</t>
        </is>
      </c>
      <c r="G462" t="inlineStr">
        <is>
          <t>ALVESTA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46306</v>
      </c>
      <c r="F463" t="inlineStr">
        <is>
          <t>KRONOBERGS LÄN</t>
        </is>
      </c>
      <c r="G463" t="inlineStr">
        <is>
          <t>ALVESTA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44601</v>
      </c>
      <c r="E464" s="1" t="n">
        <v>46306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46306</v>
      </c>
      <c r="F465" t="inlineStr">
        <is>
          <t>KRONOBERGS LÄN</t>
        </is>
      </c>
      <c r="G465" t="inlineStr">
        <is>
          <t>ALVESTA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45426</v>
      </c>
      <c r="E466" s="1" t="n">
        <v>46306</v>
      </c>
      <c r="F466" t="inlineStr">
        <is>
          <t>KRONOBERGS LÄN</t>
        </is>
      </c>
      <c r="G466" t="inlineStr">
        <is>
          <t>ALVESTA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45856</v>
      </c>
      <c r="E467" s="1" t="n">
        <v>46306</v>
      </c>
      <c r="F467" t="inlineStr">
        <is>
          <t>KRONOBERGS LÄN</t>
        </is>
      </c>
      <c r="G467" t="inlineStr">
        <is>
          <t>ALVESTA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45884</v>
      </c>
      <c r="E468" s="1" t="n">
        <v>46306</v>
      </c>
      <c r="F468" t="inlineStr">
        <is>
          <t>KRONOBERGS LÄN</t>
        </is>
      </c>
      <c r="G468" t="inlineStr">
        <is>
          <t>ALVESTA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45040</v>
      </c>
      <c r="E469" s="1" t="n">
        <v>46306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46306</v>
      </c>
      <c r="F470" t="inlineStr">
        <is>
          <t>KRONOBERGS LÄN</t>
        </is>
      </c>
      <c r="G470" t="inlineStr">
        <is>
          <t>ALVESTA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72318-2021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44545</v>
      </c>
      <c r="E471" s="1" t="n">
        <v>46306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46306</v>
      </c>
      <c r="F472" t="inlineStr">
        <is>
          <t>KRONOBERGS LÄN</t>
        </is>
      </c>
      <c r="G472" t="inlineStr">
        <is>
          <t>ALVESTA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44948</v>
      </c>
      <c r="E473" s="1" t="n">
        <v>46306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45189</v>
      </c>
      <c r="E474" s="1" t="n">
        <v>46306</v>
      </c>
      <c r="F474" t="inlineStr">
        <is>
          <t>KRONOBERGS LÄN</t>
        </is>
      </c>
      <c r="G474" t="inlineStr">
        <is>
          <t>ALVESTA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58268-2022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44901</v>
      </c>
      <c r="E475" s="1" t="n">
        <v>46306</v>
      </c>
      <c r="F475" t="inlineStr">
        <is>
          <t>KRONOBERGS LÄN</t>
        </is>
      </c>
      <c r="G475" t="inlineStr">
        <is>
          <t>ALVESTA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45818</v>
      </c>
      <c r="E476" s="1" t="n">
        <v>46306</v>
      </c>
      <c r="F476" t="inlineStr">
        <is>
          <t>KRONOBERGS LÄN</t>
        </is>
      </c>
      <c r="G476" t="inlineStr">
        <is>
          <t>ALVESTA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46306</v>
      </c>
      <c r="F477" t="inlineStr">
        <is>
          <t>KRONOBERGS LÄN</t>
        </is>
      </c>
      <c r="G477" t="inlineStr">
        <is>
          <t>ALVESTA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46306</v>
      </c>
      <c r="F478" t="inlineStr">
        <is>
          <t>KRONOBERGS LÄN</t>
        </is>
      </c>
      <c r="G478" t="inlineStr">
        <is>
          <t>ALVESTA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45909</v>
      </c>
      <c r="E479" s="1" t="n">
        <v>46306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14969-2022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44657</v>
      </c>
      <c r="E480" s="1" t="n">
        <v>46306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45385</v>
      </c>
      <c r="E481" s="1" t="n">
        <v>46306</v>
      </c>
      <c r="F481" t="inlineStr">
        <is>
          <t>KRONOBERGS LÄN</t>
        </is>
      </c>
      <c r="G481" t="inlineStr">
        <is>
          <t>ALVESTA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45946</v>
      </c>
      <c r="E482" s="1" t="n">
        <v>46306</v>
      </c>
      <c r="F482" t="inlineStr">
        <is>
          <t>KRONOBERGS LÄN</t>
        </is>
      </c>
      <c r="G482" t="inlineStr">
        <is>
          <t>ALVESTA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46306</v>
      </c>
      <c r="F483" t="inlineStr">
        <is>
          <t>KRONOBERGS LÄN</t>
        </is>
      </c>
      <c r="G483" t="inlineStr">
        <is>
          <t>ALVESTA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46306</v>
      </c>
      <c r="F484" t="inlineStr">
        <is>
          <t>KRONOBERGS LÄN</t>
        </is>
      </c>
      <c r="G484" t="inlineStr">
        <is>
          <t>ALVESTA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44951</v>
      </c>
      <c r="E485" s="1" t="n">
        <v>46306</v>
      </c>
      <c r="F485" t="inlineStr">
        <is>
          <t>KRONOBERGS LÄN</t>
        </is>
      </c>
      <c r="G485" t="inlineStr">
        <is>
          <t>ALVESTA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45341</v>
      </c>
      <c r="E486" s="1" t="n">
        <v>46306</v>
      </c>
      <c r="F486" t="inlineStr">
        <is>
          <t>KRONOBERGS LÄN</t>
        </is>
      </c>
      <c r="G486" t="inlineStr">
        <is>
          <t>ALVESTA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45949</v>
      </c>
      <c r="E487" s="1" t="n">
        <v>46306</v>
      </c>
      <c r="F487" t="inlineStr">
        <is>
          <t>KRONOBERGS LÄN</t>
        </is>
      </c>
      <c r="G487" t="inlineStr">
        <is>
          <t>ALVESTA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46306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46306</v>
      </c>
      <c r="F489" t="inlineStr">
        <is>
          <t>KRONOBERGS LÄN</t>
        </is>
      </c>
      <c r="G489" t="inlineStr">
        <is>
          <t>ALVESTA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46306</v>
      </c>
      <c r="F490" t="inlineStr">
        <is>
          <t>KRONOBERGS LÄN</t>
        </is>
      </c>
      <c r="G490" t="inlineStr">
        <is>
          <t>ALVESTA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46306</v>
      </c>
      <c r="F491" t="inlineStr">
        <is>
          <t>KRONOBERGS LÄN</t>
        </is>
      </c>
      <c r="G491" t="inlineStr">
        <is>
          <t>ALVESTA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46306</v>
      </c>
      <c r="F492" t="inlineStr">
        <is>
          <t>KRONOBERGS LÄN</t>
        </is>
      </c>
      <c r="G492" t="inlineStr">
        <is>
          <t>ALVESTA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57118-2023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45245</v>
      </c>
      <c r="E493" s="1" t="n">
        <v>46306</v>
      </c>
      <c r="F493" t="inlineStr">
        <is>
          <t>KRONOBERGS LÄN</t>
        </is>
      </c>
      <c r="G493" t="inlineStr">
        <is>
          <t>ALVESTA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45840</v>
      </c>
      <c r="E494" s="1" t="n">
        <v>46306</v>
      </c>
      <c r="F494" t="inlineStr">
        <is>
          <t>KRONOBERGS LÄN</t>
        </is>
      </c>
      <c r="G494" t="inlineStr">
        <is>
          <t>ALVESTA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46139</v>
      </c>
      <c r="E495" s="1" t="n">
        <v>46306</v>
      </c>
      <c r="F495" t="inlineStr">
        <is>
          <t>KRONOBERGS LÄN</t>
        </is>
      </c>
      <c r="G495" t="inlineStr">
        <is>
          <t>ALVESTA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46306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45858</v>
      </c>
      <c r="E497" s="1" t="n">
        <v>46306</v>
      </c>
      <c r="F497" t="inlineStr">
        <is>
          <t>KRONOBERGS LÄN</t>
        </is>
      </c>
      <c r="G497" t="inlineStr">
        <is>
          <t>ALVESTA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46306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44935</v>
      </c>
      <c r="E499" s="1" t="n">
        <v>46306</v>
      </c>
      <c r="F499" t="inlineStr">
        <is>
          <t>KRONOBERGS LÄN</t>
        </is>
      </c>
      <c r="G499" t="inlineStr">
        <is>
          <t>ALVESTA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56552-2021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44480</v>
      </c>
      <c r="E500" s="1" t="n">
        <v>46306</v>
      </c>
      <c r="F500" t="inlineStr">
        <is>
          <t>KRONOBERGS LÄN</t>
        </is>
      </c>
      <c r="G500" t="inlineStr">
        <is>
          <t>ALVESTA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45155</v>
      </c>
      <c r="E501" s="1" t="n">
        <v>46306</v>
      </c>
      <c r="F501" t="inlineStr">
        <is>
          <t>KRONOBERGS LÄN</t>
        </is>
      </c>
      <c r="G501" t="inlineStr">
        <is>
          <t>ALVESTA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44914</v>
      </c>
      <c r="E502" s="1" t="n">
        <v>46306</v>
      </c>
      <c r="F502" t="inlineStr">
        <is>
          <t>KRONOBERGS LÄN</t>
        </is>
      </c>
      <c r="G502" t="inlineStr">
        <is>
          <t>ALVESTA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3118-2025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45678</v>
      </c>
      <c r="E503" s="1" t="n">
        <v>46306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45596</v>
      </c>
      <c r="E504" s="1" t="n">
        <v>46306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46306</v>
      </c>
      <c r="F505" t="inlineStr">
        <is>
          <t>KRONOBERGS LÄN</t>
        </is>
      </c>
      <c r="G505" t="inlineStr">
        <is>
          <t>ALVESTA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45005</v>
      </c>
      <c r="E506" s="1" t="n">
        <v>46306</v>
      </c>
      <c r="F506" t="inlineStr">
        <is>
          <t>KRONOBERGS LÄN</t>
        </is>
      </c>
      <c r="G506" t="inlineStr">
        <is>
          <t>ALVESTA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46306</v>
      </c>
      <c r="F507" t="inlineStr">
        <is>
          <t>KRONOBERGS LÄN</t>
        </is>
      </c>
      <c r="G507" t="inlineStr">
        <is>
          <t>ALVESTA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44687</v>
      </c>
      <c r="E508" s="1" t="n">
        <v>46306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46306</v>
      </c>
      <c r="F509" t="inlineStr">
        <is>
          <t>KRONOBERGS LÄN</t>
        </is>
      </c>
      <c r="G509" t="inlineStr">
        <is>
          <t>ALVESTA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45146</v>
      </c>
      <c r="E510" s="1" t="n">
        <v>46306</v>
      </c>
      <c r="F510" t="inlineStr">
        <is>
          <t>KRONOBERGS LÄN</t>
        </is>
      </c>
      <c r="G510" t="inlineStr">
        <is>
          <t>ALVESTA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44978</v>
      </c>
      <c r="E511" s="1" t="n">
        <v>46306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65092-2023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45288</v>
      </c>
      <c r="E512" s="1" t="n">
        <v>46306</v>
      </c>
      <c r="F512" t="inlineStr">
        <is>
          <t>KRONOBERGS LÄN</t>
        </is>
      </c>
      <c r="G512" t="inlineStr">
        <is>
          <t>ALVESTA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46306</v>
      </c>
      <c r="F513" t="inlineStr">
        <is>
          <t>KRONOBERGS LÄN</t>
        </is>
      </c>
      <c r="G513" t="inlineStr">
        <is>
          <t>ALVESTA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46306</v>
      </c>
      <c r="F514" t="inlineStr">
        <is>
          <t>KRONOBERGS LÄN</t>
        </is>
      </c>
      <c r="G514" t="inlineStr">
        <is>
          <t>ALVESTA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46306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44995</v>
      </c>
      <c r="E516" s="1" t="n">
        <v>46306</v>
      </c>
      <c r="F516" t="inlineStr">
        <is>
          <t>KRONOBERGS LÄN</t>
        </is>
      </c>
      <c r="G516" t="inlineStr">
        <is>
          <t>ALVESTA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16301-2024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45407</v>
      </c>
      <c r="E517" s="1" t="n">
        <v>46306</v>
      </c>
      <c r="F517" t="inlineStr">
        <is>
          <t>KRONOBERGS LÄN</t>
        </is>
      </c>
      <c r="G517" t="inlineStr">
        <is>
          <t>ALVESTA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46306</v>
      </c>
      <c r="F518" t="inlineStr">
        <is>
          <t>KRONOBERGS LÄN</t>
        </is>
      </c>
      <c r="G518" t="inlineStr">
        <is>
          <t>ALVESTA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46306</v>
      </c>
      <c r="F519" t="inlineStr">
        <is>
          <t>KRONOBERGS LÄN</t>
        </is>
      </c>
      <c r="G519" t="inlineStr">
        <is>
          <t>ALVESTA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46306</v>
      </c>
      <c r="F520" t="inlineStr">
        <is>
          <t>KRONOBERGS LÄN</t>
        </is>
      </c>
      <c r="G520" t="inlineStr">
        <is>
          <t>ALVESTA</t>
        </is>
      </c>
      <c r="H520" t="inlineStr">
        <is>
          <t>Kyrkan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46306</v>
      </c>
      <c r="F521" t="inlineStr">
        <is>
          <t>KRONOBERGS LÄN</t>
        </is>
      </c>
      <c r="G521" t="inlineStr">
        <is>
          <t>ALVESTA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46306</v>
      </c>
      <c r="F522" t="inlineStr">
        <is>
          <t>KRONOBERGS LÄN</t>
        </is>
      </c>
      <c r="G522" t="inlineStr">
        <is>
          <t>ALVESTA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46306</v>
      </c>
      <c r="F523" t="inlineStr">
        <is>
          <t>KRONOBERGS LÄN</t>
        </is>
      </c>
      <c r="G523" t="inlineStr">
        <is>
          <t>ALVESTA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46306</v>
      </c>
      <c r="F524" t="inlineStr">
        <is>
          <t>KRONOBERGS LÄN</t>
        </is>
      </c>
      <c r="G524" t="inlineStr">
        <is>
          <t>ALVESTA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46306</v>
      </c>
      <c r="F525" t="inlineStr">
        <is>
          <t>KRONOBERGS LÄN</t>
        </is>
      </c>
      <c r="G525" t="inlineStr">
        <is>
          <t>ALVESTA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11331-2026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46081</v>
      </c>
      <c r="E526" s="1" t="n">
        <v>46306</v>
      </c>
      <c r="F526" t="inlineStr">
        <is>
          <t>KRONOBERGS LÄN</t>
        </is>
      </c>
      <c r="G526" t="inlineStr">
        <is>
          <t>ALVESTA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46306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46306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12258-2026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46087</v>
      </c>
      <c r="E529" s="1" t="n">
        <v>46306</v>
      </c>
      <c r="F529" t="inlineStr">
        <is>
          <t>KRONOBERGS LÄN</t>
        </is>
      </c>
      <c r="G529" t="inlineStr">
        <is>
          <t>ALVESTA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46306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35434-2025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45854</v>
      </c>
      <c r="E531" s="1" t="n">
        <v>46306</v>
      </c>
      <c r="F531" t="inlineStr">
        <is>
          <t>KRONOBERGS LÄN</t>
        </is>
      </c>
      <c r="G531" t="inlineStr">
        <is>
          <t>ALVESTA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40612-2025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45896</v>
      </c>
      <c r="E532" s="1" t="n">
        <v>46306</v>
      </c>
      <c r="F532" t="inlineStr">
        <is>
          <t>KRONOBERGS LÄN</t>
        </is>
      </c>
      <c r="G532" t="inlineStr">
        <is>
          <t>ALVESTA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46306</v>
      </c>
      <c r="F533" t="inlineStr">
        <is>
          <t>KRONOBERGS LÄN</t>
        </is>
      </c>
      <c r="G533" t="inlineStr">
        <is>
          <t>ALVESTA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45903</v>
      </c>
      <c r="E534" s="1" t="n">
        <v>46306</v>
      </c>
      <c r="F534" t="inlineStr">
        <is>
          <t>KRONOBERGS LÄN</t>
        </is>
      </c>
      <c r="G534" t="inlineStr">
        <is>
          <t>ALVESTA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46306</v>
      </c>
      <c r="F535" t="inlineStr">
        <is>
          <t>KRONOBERGS LÄN</t>
        </is>
      </c>
      <c r="G535" t="inlineStr">
        <is>
          <t>ALVESTA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46306</v>
      </c>
      <c r="F536" t="inlineStr">
        <is>
          <t>KRONOBERGS LÄN</t>
        </is>
      </c>
      <c r="G536" t="inlineStr">
        <is>
          <t>ALVESTA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46306</v>
      </c>
      <c r="F537" t="inlineStr">
        <is>
          <t>KRONOBERGS LÄN</t>
        </is>
      </c>
      <c r="G537" t="inlineStr">
        <is>
          <t>ALVESTA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24420-2026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46169</v>
      </c>
      <c r="E538" s="1" t="n">
        <v>46306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24419-2026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46169</v>
      </c>
      <c r="E539" s="1" t="n">
        <v>46306</v>
      </c>
      <c r="F539" t="inlineStr">
        <is>
          <t>KRONOBERGS LÄN</t>
        </is>
      </c>
      <c r="G539" t="inlineStr">
        <is>
          <t>ALVESTA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46306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24692-2026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46171</v>
      </c>
      <c r="E541" s="1" t="n">
        <v>46306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46306</v>
      </c>
      <c r="F542" t="inlineStr">
        <is>
          <t>KRONOBERGS LÄN</t>
        </is>
      </c>
      <c r="G542" t="inlineStr">
        <is>
          <t>ALVESTA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46306</v>
      </c>
      <c r="F543" t="inlineStr">
        <is>
          <t>KRONOBERGS LÄN</t>
        </is>
      </c>
      <c r="G543" t="inlineStr">
        <is>
          <t>ALVESTA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38899-2024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45547</v>
      </c>
      <c r="E544" s="1" t="n">
        <v>46306</v>
      </c>
      <c r="F544" t="inlineStr">
        <is>
          <t>KRONOBERGS LÄN</t>
        </is>
      </c>
      <c r="G544" t="inlineStr">
        <is>
          <t>ALVESTA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46306</v>
      </c>
      <c r="F545" t="inlineStr">
        <is>
          <t>KRONOBERGS LÄN</t>
        </is>
      </c>
      <c r="G545" t="inlineStr">
        <is>
          <t>ALVESTA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25609-2026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46306</v>
      </c>
      <c r="F546" t="inlineStr">
        <is>
          <t>KRONOBERGS LÄN</t>
        </is>
      </c>
      <c r="G546" t="inlineStr">
        <is>
          <t>ALVESTA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46306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27032-2026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46185</v>
      </c>
      <c r="E548" s="1" t="n">
        <v>46306</v>
      </c>
      <c r="F548" t="inlineStr">
        <is>
          <t>KRONOBERGS LÄN</t>
        </is>
      </c>
      <c r="G548" t="inlineStr">
        <is>
          <t>ALVESTA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27077-2026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46186</v>
      </c>
      <c r="E549" s="1" t="n">
        <v>46306</v>
      </c>
      <c r="F549" t="inlineStr">
        <is>
          <t>KRONOBERGS LÄN</t>
        </is>
      </c>
      <c r="G549" t="inlineStr">
        <is>
          <t>ALVESTA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46306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46306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46306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46306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46306</v>
      </c>
      <c r="F554" t="inlineStr">
        <is>
          <t>KRONOBERGS LÄN</t>
        </is>
      </c>
      <c r="G554" t="inlineStr">
        <is>
          <t>ALVESTA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46306</v>
      </c>
      <c r="F555" t="inlineStr">
        <is>
          <t>KRONOBERGS LÄN</t>
        </is>
      </c>
      <c r="G555" t="inlineStr">
        <is>
          <t>ALVESTA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46306</v>
      </c>
      <c r="F556" t="inlineStr">
        <is>
          <t>KRONOBERGS LÄN</t>
        </is>
      </c>
      <c r="G556" t="inlineStr">
        <is>
          <t>ALVESTA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46306</v>
      </c>
      <c r="F557" t="inlineStr">
        <is>
          <t>KRONOBERGS LÄN</t>
        </is>
      </c>
      <c r="G557" t="inlineStr">
        <is>
          <t>ALVESTA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46306</v>
      </c>
      <c r="F558" t="inlineStr">
        <is>
          <t>KRONOBERGS LÄN</t>
        </is>
      </c>
      <c r="G558" t="inlineStr">
        <is>
          <t>ALVESTA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46306</v>
      </c>
      <c r="F559" t="inlineStr">
        <is>
          <t>KRONOBERGS LÄN</t>
        </is>
      </c>
      <c r="G559" t="inlineStr">
        <is>
          <t>ALVESTA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46212</v>
      </c>
      <c r="E560" s="1" t="n">
        <v>46306</v>
      </c>
      <c r="F560" t="inlineStr">
        <is>
          <t>KRONOBERGS LÄN</t>
        </is>
      </c>
      <c r="G560" t="inlineStr">
        <is>
          <t>ALVESTA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46306</v>
      </c>
      <c r="F561" t="inlineStr">
        <is>
          <t>KRONOBERGS LÄN</t>
        </is>
      </c>
      <c r="G561" t="inlineStr">
        <is>
          <t>ALVESTA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46306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46306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36949-2026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46273</v>
      </c>
      <c r="E564" s="1" t="n">
        <v>46306</v>
      </c>
      <c r="F564" t="inlineStr">
        <is>
          <t>KRONOBERGS LÄN</t>
        </is>
      </c>
      <c r="G564" t="inlineStr">
        <is>
          <t>ALVESTA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46306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36946-2026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46273</v>
      </c>
      <c r="E566" s="1" t="n">
        <v>46306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46306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46306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46306</v>
      </c>
      <c r="F569" t="inlineStr">
        <is>
          <t>KRONOBERGS LÄN</t>
        </is>
      </c>
      <c r="G569" t="inlineStr">
        <is>
          <t>ALVESTA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46281</v>
      </c>
      <c r="E570" s="1" t="n">
        <v>46306</v>
      </c>
      <c r="F570" t="inlineStr">
        <is>
          <t>KRONOBERGS LÄN</t>
        </is>
      </c>
      <c r="G570" t="inlineStr">
        <is>
          <t>ALVESTA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46238</v>
      </c>
      <c r="E571" s="1" t="n">
        <v>46306</v>
      </c>
      <c r="F571" t="inlineStr">
        <is>
          <t>KRONOBERGS LÄN</t>
        </is>
      </c>
      <c r="G571" t="inlineStr">
        <is>
          <t>ALVESTA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46306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46306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46286</v>
      </c>
      <c r="E574" s="1" t="n">
        <v>46306</v>
      </c>
      <c r="F574" t="inlineStr">
        <is>
          <t>KRONOBERGS LÄN</t>
        </is>
      </c>
      <c r="G574" t="inlineStr">
        <is>
          <t>ALVESTA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46241</v>
      </c>
      <c r="E575" s="1" t="n">
        <v>46306</v>
      </c>
      <c r="F575" t="inlineStr">
        <is>
          <t>KRONOBERGS LÄN</t>
        </is>
      </c>
      <c r="G575" t="inlineStr">
        <is>
          <t>ALVESTA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32799-2026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46241</v>
      </c>
      <c r="E576" s="1" t="n">
        <v>46306</v>
      </c>
      <c r="F576" t="inlineStr">
        <is>
          <t>KRONOBERGS LÄN</t>
        </is>
      </c>
      <c r="G576" t="inlineStr">
        <is>
          <t>ALVESTA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46286</v>
      </c>
      <c r="E577" s="1" t="n">
        <v>46306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46241</v>
      </c>
      <c r="E578" s="1" t="n">
        <v>46306</v>
      </c>
      <c r="F578" t="inlineStr">
        <is>
          <t>KRONOBERGS LÄN</t>
        </is>
      </c>
      <c r="G578" t="inlineStr">
        <is>
          <t>ALVESTA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46306</v>
      </c>
      <c r="F579" t="inlineStr">
        <is>
          <t>KRONOBERGS LÄN</t>
        </is>
      </c>
      <c r="G579" t="inlineStr">
        <is>
          <t>ALVESTA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46306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46241</v>
      </c>
      <c r="E581" s="1" t="n">
        <v>46306</v>
      </c>
      <c r="F581" t="inlineStr">
        <is>
          <t>KRONOBERGS LÄN</t>
        </is>
      </c>
      <c r="G581" t="inlineStr">
        <is>
          <t>ALVESTA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38912-2026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46306</v>
      </c>
      <c r="F582" t="inlineStr">
        <is>
          <t>KRONOBERGS LÄN</t>
        </is>
      </c>
      <c r="G582" t="inlineStr">
        <is>
          <t>ALVESTA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46306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46306</v>
      </c>
      <c r="F584" t="inlineStr">
        <is>
          <t>KRONOBERGS LÄN</t>
        </is>
      </c>
      <c r="G584" t="inlineStr">
        <is>
          <t>ALVESTA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46306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39407-2026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46288</v>
      </c>
      <c r="E586" s="1" t="n">
        <v>46306</v>
      </c>
      <c r="F586" t="inlineStr">
        <is>
          <t>KRONOBERGS LÄN</t>
        </is>
      </c>
      <c r="G586" t="inlineStr">
        <is>
          <t>ALVESTA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46306</v>
      </c>
      <c r="F587" t="inlineStr">
        <is>
          <t>KRONOBERGS LÄN</t>
        </is>
      </c>
      <c r="G587" t="inlineStr">
        <is>
          <t>ALVESTA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46306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46306</v>
      </c>
      <c r="F589" t="inlineStr">
        <is>
          <t>KRONOBERGS LÄN</t>
        </is>
      </c>
      <c r="G589" t="inlineStr">
        <is>
          <t>ALVESTA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46246</v>
      </c>
      <c r="E590" s="1" t="n">
        <v>46306</v>
      </c>
      <c r="F590" t="inlineStr">
        <is>
          <t>KRONOBERGS LÄN</t>
        </is>
      </c>
      <c r="G590" t="inlineStr">
        <is>
          <t>ALVESTA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40083-2026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46293</v>
      </c>
      <c r="E591" s="1" t="n">
        <v>46306</v>
      </c>
      <c r="F591" t="inlineStr">
        <is>
          <t>KRONOBERGS LÄN</t>
        </is>
      </c>
      <c r="G591" t="inlineStr">
        <is>
          <t>ALVESTA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40065-2026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46306</v>
      </c>
      <c r="F592" t="inlineStr">
        <is>
          <t>KRONOBERGS LÄN</t>
        </is>
      </c>
      <c r="G592" t="inlineStr">
        <is>
          <t>ALVESTA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40836-2026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46296</v>
      </c>
      <c r="E593" s="1" t="n">
        <v>46306</v>
      </c>
      <c r="F593" t="inlineStr">
        <is>
          <t>KRONOBERGS LÄN</t>
        </is>
      </c>
      <c r="G593" t="inlineStr">
        <is>
          <t>ALVESTA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46306</v>
      </c>
      <c r="F594" t="inlineStr">
        <is>
          <t>KRONOBERGS LÄN</t>
        </is>
      </c>
      <c r="G594" t="inlineStr">
        <is>
          <t>ALVESTA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46297</v>
      </c>
      <c r="E595" s="1" t="n">
        <v>46306</v>
      </c>
      <c r="F595" t="inlineStr">
        <is>
          <t>KRONOBERGS LÄN</t>
        </is>
      </c>
      <c r="G595" t="inlineStr">
        <is>
          <t>ALVESTA</t>
        </is>
      </c>
      <c r="H595" t="inlineStr">
        <is>
          <t>Övriga Aktiebolag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46306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46300</v>
      </c>
      <c r="E597" s="1" t="n">
        <v>46306</v>
      </c>
      <c r="F597" t="inlineStr">
        <is>
          <t>KRONOBERGS LÄN</t>
        </is>
      </c>
      <c r="G597" t="inlineStr">
        <is>
          <t>ALVESTA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46302</v>
      </c>
      <c r="E598" s="1" t="n">
        <v>46306</v>
      </c>
      <c r="F598" t="inlineStr">
        <is>
          <t>KRONOBERGS LÄN</t>
        </is>
      </c>
      <c r="G598" t="inlineStr">
        <is>
          <t>ALVESTA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46306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41787-2026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46306</v>
      </c>
      <c r="F600" t="inlineStr">
        <is>
          <t>KRONOBERGS LÄN</t>
        </is>
      </c>
      <c r="G600" t="inlineStr">
        <is>
          <t>ALVESTA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46303</v>
      </c>
      <c r="E601" s="1" t="n">
        <v>46306</v>
      </c>
      <c r="F601" t="inlineStr">
        <is>
          <t>KRONOBERGS LÄN</t>
        </is>
      </c>
      <c r="G601" t="inlineStr">
        <is>
          <t>ALVESTA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46304</v>
      </c>
      <c r="E602" s="1" t="n">
        <v>46306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46306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46303</v>
      </c>
      <c r="E604" s="1" t="n">
        <v>46306</v>
      </c>
      <c r="F604" t="inlineStr">
        <is>
          <t>KRONOBERGS LÄN</t>
        </is>
      </c>
      <c r="G604" t="inlineStr">
        <is>
          <t>ALVESTA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46306</v>
      </c>
      <c r="F605" t="inlineStr">
        <is>
          <t>KRONOBERGS LÄN</t>
        </is>
      </c>
      <c r="G605" t="inlineStr">
        <is>
          <t>ALVESTA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46306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46306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46306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46306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46306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46306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46306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46306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46306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46306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46306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46306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46306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46306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46306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46306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46306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46306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46306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46306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46306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46306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46306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46306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46306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46306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46306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46306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46306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2591-2026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46306</v>
      </c>
      <c r="F635" t="inlineStr">
        <is>
          <t>KRONOBERGS LÄN</t>
        </is>
      </c>
      <c r="G635" t="inlineStr">
        <is>
          <t>ALVESTA</t>
        </is>
      </c>
      <c r="I635" t="n">
        <v>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46306</v>
      </c>
      <c r="F636" t="inlineStr">
        <is>
          <t>KRONOBERGS LÄN</t>
        </is>
      </c>
      <c r="G636" t="inlineStr">
        <is>
          <t>ALVESTA</t>
        </is>
      </c>
      <c r="I636" t="n">
        <v>22.6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46306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46306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46306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2026-10-11T02:04:14Z</dcterms:created>
  <dcterms:modified xmlns:dcterms="http://purl.org/dc/terms/" xmlns:xsi="http://www.w3.org/2001/XMLSchema-instance" xsi:type="dcterms:W3CDTF">2026-10-11T02:04:14Z</dcterms:modified>
</cp:coreProperties>
</file>