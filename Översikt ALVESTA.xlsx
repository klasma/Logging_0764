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46237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46237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46237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46237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46237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46237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4825-2022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46237</v>
      </c>
      <c r="F18" t="inlineStr">
        <is>
          <t>KRONOBERGS LÄN</t>
        </is>
      </c>
      <c r="G18" t="inlineStr">
        <is>
          <t>ALVESTA</t>
        </is>
      </c>
      <c r="I18" t="n">
        <v>6.7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Blåmossa
Spillkråka</t>
        </is>
      </c>
      <c r="W18">
        <f>HYPERLINK("https://klasma.github.io/Logging_0764/artfynd/A 4825-2022 artfynd.xlsx", "A 4825-2022")</f>
        <v/>
      </c>
      <c r="X18">
        <f>HYPERLINK("https://klasma.github.io/Logging_0764/kartor/A 4825-2022 karta.png", "A 4825-2022")</f>
        <v/>
      </c>
      <c r="Y18">
        <f>HYPERLINK("https://klasma.github.io/Logging_0764/kartor_geotiff/A 4825-2022 georefererad karta.tif", "A 4825-2022")</f>
        <v/>
      </c>
      <c r="AA18">
        <f>HYPERLINK("https://klasma.github.io/Logging_0764/klagomål/A 4825-2022 FSC-klagomål.docx", "A 4825-2022")</f>
        <v/>
      </c>
      <c r="AB18">
        <f>HYPERLINK("https://klasma.github.io/Logging_0764/klagomålsmail/A 4825-2022 FSC-klagomål mail.docx", "A 4825-2022")</f>
        <v/>
      </c>
      <c r="AC18">
        <f>HYPERLINK("https://klasma.github.io/Logging_0764/tillsyn/A 4825-2022 tillsynsbegäran.docx", "A 4825-2022")</f>
        <v/>
      </c>
      <c r="AD18">
        <f>HYPERLINK("https://klasma.github.io/Logging_0764/tillsynsmail/A 4825-2022 tillsynsbegäran mail.docx", "A 4825-2022")</f>
        <v/>
      </c>
      <c r="AE18">
        <f>HYPERLINK("https://klasma.github.io/Logging_0764/fåglar/A 4825-2022 prioriterade fågelarter.docx", "A 4825-2022")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46237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46237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Småvaxing
Toppvaxing</t>
        </is>
      </c>
      <c r="W20">
        <f>HYPERLINK("https://klasma.github.io/Logging_0764/artfynd/A 9407-2024 artfynd.xlsx", "A 9407-2024")</f>
        <v/>
      </c>
      <c r="X20">
        <f>HYPERLINK("https://klasma.github.io/Logging_0764/kartor/A 9407-2024 karta.png", "A 9407-2024")</f>
        <v/>
      </c>
      <c r="Y20">
        <f>HYPERLINK("https://klasma.github.io/Logging_0764/kartor_geotiff/A 9407-2024 georefererad karta.tif", "A 9407-2024")</f>
        <v/>
      </c>
      <c r="AA20">
        <f>HYPERLINK("https://klasma.github.io/Logging_0764/klagomål/A 9407-2024 FSC-klagomål.docx", "A 9407-2024")</f>
        <v/>
      </c>
      <c r="AB20">
        <f>HYPERLINK("https://klasma.github.io/Logging_0764/klagomålsmail/A 9407-2024 FSC-klagomål mail.docx", "A 9407-2024")</f>
        <v/>
      </c>
      <c r="AC20">
        <f>HYPERLINK("https://klasma.github.io/Logging_0764/tillsyn/A 9407-2024 tillsynsbegäran.docx", "A 9407-2024")</f>
        <v/>
      </c>
      <c r="AD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46237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46237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46237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46237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46237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Västlig hakmossa
Revlummer</t>
        </is>
      </c>
      <c r="W25">
        <f>HYPERLINK("https://klasma.github.io/Logging_0764/artfynd/A 28740-2024 artfynd.xlsx", "A 28740-2024")</f>
        <v/>
      </c>
      <c r="X25">
        <f>HYPERLINK("https://klasma.github.io/Logging_0764/kartor/A 28740-2024 karta.png", "A 28740-2024")</f>
        <v/>
      </c>
      <c r="Y25">
        <f>HYPERLINK("https://klasma.github.io/Logging_0764/kartor_geotiff/A 28740-2024 georefererad karta.tif", "A 28740-2024")</f>
        <v/>
      </c>
      <c r="AA25">
        <f>HYPERLINK("https://klasma.github.io/Logging_0764/klagomål/A 28740-2024 FSC-klagomål.docx", "A 28740-2024")</f>
        <v/>
      </c>
      <c r="AB25">
        <f>HYPERLINK("https://klasma.github.io/Logging_0764/klagomålsmail/A 28740-2024 FSC-klagomål mail.docx", "A 28740-2024")</f>
        <v/>
      </c>
      <c r="AC25">
        <f>HYPERLINK("https://klasma.github.io/Logging_0764/tillsyn/A 28740-2024 tillsynsbegäran.docx", "A 28740-2024")</f>
        <v/>
      </c>
      <c r="AD25">
        <f>HYPERLINK("https://klasma.github.io/Logging_0764/tillsynsmail/A 28740-2024 tillsynsbegäran mail.docx", "A 28740-2024")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46237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46237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46237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46237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46237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50486-2021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46237</v>
      </c>
      <c r="F31" t="inlineStr">
        <is>
          <t>KRONOBERGS LÄN</t>
        </is>
      </c>
      <c r="G31" t="inlineStr">
        <is>
          <t>ALVESTA</t>
        </is>
      </c>
      <c r="I31" t="n">
        <v>9.1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3</v>
      </c>
      <c r="V31" s="2" t="inlineStr">
        <is>
          <t>Västlig hakmossa</t>
        </is>
      </c>
      <c r="W31">
        <f>HYPERLINK("https://klasma.github.io/Logging_0764/artfynd/A 50486-2021 artfynd.xlsx", "A 50486-2021")</f>
        <v/>
      </c>
      <c r="X31">
        <f>HYPERLINK("https://klasma.github.io/Logging_0764/kartor/A 50486-2021 karta.png", "A 50486-2021")</f>
        <v/>
      </c>
      <c r="Y31">
        <f>HYPERLINK("https://klasma.github.io/Logging_0764/kartor_geotiff/A 50486-2021 georefererad karta.tif", "A 50486-2021")</f>
        <v/>
      </c>
      <c r="AA31">
        <f>HYPERLINK("https://klasma.github.io/Logging_0764/klagomål/A 50486-2021 FSC-klagomål.docx", "A 50486-2021")</f>
        <v/>
      </c>
      <c r="AB31">
        <f>HYPERLINK("https://klasma.github.io/Logging_0764/klagomålsmail/A 50486-2021 FSC-klagomål mail.docx", "A 50486-2021")</f>
        <v/>
      </c>
      <c r="AC31">
        <f>HYPERLINK("https://klasma.github.io/Logging_0764/tillsyn/A 50486-2021 tillsynsbegäran.docx", "A 50486-2021")</f>
        <v/>
      </c>
      <c r="AD31">
        <f>HYPERLINK("https://klasma.github.io/Logging_0764/tillsynsmail/A 50486-2021 tillsynsbegäran mail.docx", "A 50486-2021")</f>
        <v/>
      </c>
    </row>
    <row r="32" ht="15" customHeight="1">
      <c r="A32" t="inlineStr">
        <is>
          <t>A 37608-2022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46237</v>
      </c>
      <c r="F32" t="inlineStr">
        <is>
          <t>KRONOBERGS LÄN</t>
        </is>
      </c>
      <c r="G32" t="inlineStr">
        <is>
          <t>ALVESTA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Gropticka</t>
        </is>
      </c>
      <c r="W32">
        <f>HYPERLINK("https://klasma.github.io/Logging_0764/artfynd/A 37608-2022 artfynd.xlsx", "A 37608-2022")</f>
        <v/>
      </c>
      <c r="X32">
        <f>HYPERLINK("https://klasma.github.io/Logging_0764/kartor/A 37608-2022 karta.png", "A 37608-2022")</f>
        <v/>
      </c>
      <c r="Y32">
        <f>HYPERLINK("https://klasma.github.io/Logging_0764/kartor_geotiff/A 37608-2022 georefererad karta.tif", "A 37608-2022")</f>
        <v/>
      </c>
      <c r="AA32">
        <f>HYPERLINK("https://klasma.github.io/Logging_0764/klagomål/A 37608-2022 FSC-klagomål.docx", "A 37608-2022")</f>
        <v/>
      </c>
      <c r="AB32">
        <f>HYPERLINK("https://klasma.github.io/Logging_0764/klagomålsmail/A 37608-2022 FSC-klagomål mail.docx", "A 37608-2022")</f>
        <v/>
      </c>
      <c r="AC32">
        <f>HYPERLINK("https://klasma.github.io/Logging_0764/tillsyn/A 37608-2022 tillsynsbegäran.docx", "A 37608-2022")</f>
        <v/>
      </c>
      <c r="AD32">
        <f>HYPERLINK("https://klasma.github.io/Logging_0764/tillsynsmail/A 37608-2022 tillsynsbegäran mail.docx", "A 37608-2022")</f>
        <v/>
      </c>
    </row>
    <row r="33" ht="15" customHeight="1">
      <c r="A33" t="inlineStr">
        <is>
          <t>A 22238-2024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45446</v>
      </c>
      <c r="E33" s="1" t="n">
        <v>46237</v>
      </c>
      <c r="F33" t="inlineStr">
        <is>
          <t>KRONOBERGS LÄN</t>
        </is>
      </c>
      <c r="G33" t="inlineStr">
        <is>
          <t>ALVESTA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1</v>
      </c>
      <c r="V33" s="2" t="inlineStr">
        <is>
          <t>Klockgentiana</t>
        </is>
      </c>
      <c r="W33">
        <f>HYPERLINK("https://klasma.github.io/Logging_0764/artfynd/A 22238-2024 artfynd.xlsx", "A 22238-2024")</f>
        <v/>
      </c>
      <c r="X33">
        <f>HYPERLINK("https://klasma.github.io/Logging_0764/kartor/A 22238-2024 karta.png", "A 22238-2024")</f>
        <v/>
      </c>
      <c r="Y33">
        <f>HYPERLINK("https://klasma.github.io/Logging_0764/kartor_geotiff/A 22238-2024 georefererad karta.tif", "A 22238-2024")</f>
        <v/>
      </c>
      <c r="AA33">
        <f>HYPERLINK("https://klasma.github.io/Logging_0764/klagomål/A 22238-2024 FSC-klagomål.docx", "A 22238-2024")</f>
        <v/>
      </c>
      <c r="AB33">
        <f>HYPERLINK("https://klasma.github.io/Logging_0764/klagomålsmail/A 22238-2024 FSC-klagomål mail.docx", "A 22238-2024")</f>
        <v/>
      </c>
      <c r="AC33">
        <f>HYPERLINK("https://klasma.github.io/Logging_0764/tillsyn/A 22238-2024 tillsynsbegäran.docx", "A 22238-2024")</f>
        <v/>
      </c>
      <c r="AD33">
        <f>HYPERLINK("https://klasma.github.io/Logging_0764/tillsynsmail/A 22238-2024 tillsynsbegäran mail.docx", "A 22238-2024")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46237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18676-2023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45043</v>
      </c>
      <c r="E35" s="1" t="n">
        <v>46237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Blomkålssvamp</t>
        </is>
      </c>
      <c r="W35">
        <f>HYPERLINK("https://klasma.github.io/Logging_0764/artfynd/A 18676-2023 artfynd.xlsx", "A 18676-2023")</f>
        <v/>
      </c>
      <c r="X35">
        <f>HYPERLINK("https://klasma.github.io/Logging_0764/kartor/A 18676-2023 karta.png", "A 18676-2023")</f>
        <v/>
      </c>
      <c r="Y35">
        <f>HYPERLINK("https://klasma.github.io/Logging_0764/kartor_geotiff/A 18676-2023 georefererad karta.tif", "A 18676-2023")</f>
        <v/>
      </c>
      <c r="AA35">
        <f>HYPERLINK("https://klasma.github.io/Logging_0764/klagomål/A 18676-2023 FSC-klagomål.docx", "A 18676-2023")</f>
        <v/>
      </c>
      <c r="AB35">
        <f>HYPERLINK("https://klasma.github.io/Logging_0764/klagomålsmail/A 18676-2023 FSC-klagomål mail.docx", "A 18676-2023")</f>
        <v/>
      </c>
      <c r="AC35">
        <f>HYPERLINK("https://klasma.github.io/Logging_0764/tillsyn/A 18676-2023 tillsynsbegäran.docx", "A 18676-2023")</f>
        <v/>
      </c>
      <c r="AD35">
        <f>HYPERLINK("https://klasma.github.io/Logging_0764/tillsynsmail/A 18676-2023 tillsynsbegäran mail.docx", "A 18676-2023")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46237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Kortskaftad ärgspik</t>
        </is>
      </c>
      <c r="W36">
        <f>HYPERLINK("https://klasma.github.io/Logging_0764/artfynd/A 55368-2025 artfynd.xlsx", "A 55368-2025")</f>
        <v/>
      </c>
      <c r="X36">
        <f>HYPERLINK("https://klasma.github.io/Logging_0764/kartor/A 55368-2025 karta.png", "A 55368-2025")</f>
        <v/>
      </c>
      <c r="Y36">
        <f>HYPERLINK("https://klasma.github.io/Logging_0764/kartor_geotiff/A 55368-2025 georefererad karta.tif", "A 55368-2025")</f>
        <v/>
      </c>
      <c r="AA36">
        <f>HYPERLINK("https://klasma.github.io/Logging_0764/klagomål/A 55368-2025 FSC-klagomål.docx", "A 55368-2025")</f>
        <v/>
      </c>
      <c r="AB36">
        <f>HYPERLINK("https://klasma.github.io/Logging_0764/klagomålsmail/A 55368-2025 FSC-klagomål mail.docx", "A 55368-2025")</f>
        <v/>
      </c>
      <c r="AC36">
        <f>HYPERLINK("https://klasma.github.io/Logging_0764/tillsyn/A 55368-2025 tillsynsbegäran.docx", "A 55368-2025")</f>
        <v/>
      </c>
      <c r="AD36">
        <f>HYPERLINK("https://klasma.github.io/Logging_0764/tillsynsmail/A 55368-2025 tillsynsbegäran mail.docx", "A 55368-2025")</f>
        <v/>
      </c>
    </row>
    <row r="37" ht="15" customHeight="1">
      <c r="A37" t="inlineStr">
        <is>
          <t>A 29382-2023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46237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29382-2023 artfynd.xlsx", "A 29382-2023")</f>
        <v/>
      </c>
      <c r="X37">
        <f>HYPERLINK("https://klasma.github.io/Logging_0764/kartor/A 29382-2023 karta.png", "A 29382-2023")</f>
        <v/>
      </c>
      <c r="Y37">
        <f>HYPERLINK("https://klasma.github.io/Logging_0764/kartor_geotiff/A 29382-2023 georefererad karta.tif", "A 29382-2023")</f>
        <v/>
      </c>
      <c r="AA37">
        <f>HYPERLINK("https://klasma.github.io/Logging_0764/klagomål/A 29382-2023 FSC-klagomål.docx", "A 29382-2023")</f>
        <v/>
      </c>
      <c r="AB37">
        <f>HYPERLINK("https://klasma.github.io/Logging_0764/klagomålsmail/A 29382-2023 FSC-klagomål mail.docx", "A 29382-2023")</f>
        <v/>
      </c>
      <c r="AC37">
        <f>HYPERLINK("https://klasma.github.io/Logging_0764/tillsyn/A 29382-2023 tillsynsbegäran.docx", "A 29382-2023")</f>
        <v/>
      </c>
      <c r="AD37">
        <f>HYPERLINK("https://klasma.github.io/Logging_0764/tillsynsmail/A 29382-2023 tillsynsbegäran mail.docx", "A 29382-2023")</f>
        <v/>
      </c>
    </row>
    <row r="38" ht="15" customHeight="1">
      <c r="A38" t="inlineStr">
        <is>
          <t>A 30604-2023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46237</v>
      </c>
      <c r="F38" t="inlineStr">
        <is>
          <t>KRONOBERGS LÄN</t>
        </is>
      </c>
      <c r="G38" t="inlineStr">
        <is>
          <t>ALVESTA</t>
        </is>
      </c>
      <c r="I38" t="n">
        <v>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Orre</t>
        </is>
      </c>
      <c r="W38">
        <f>HYPERLINK("https://klasma.github.io/Logging_0764/artfynd/A 30604-2023 artfynd.xlsx", "A 30604-2023")</f>
        <v/>
      </c>
      <c r="X38">
        <f>HYPERLINK("https://klasma.github.io/Logging_0764/kartor/A 30604-2023 karta.png", "A 30604-2023")</f>
        <v/>
      </c>
      <c r="Y38">
        <f>HYPERLINK("https://klasma.github.io/Logging_0764/kartor_geotiff/A 30604-2023 georefererad karta.tif", "A 30604-2023")</f>
        <v/>
      </c>
      <c r="AA38">
        <f>HYPERLINK("https://klasma.github.io/Logging_0764/klagomål/A 30604-2023 FSC-klagomål.docx", "A 30604-2023")</f>
        <v/>
      </c>
      <c r="AB38">
        <f>HYPERLINK("https://klasma.github.io/Logging_0764/klagomålsmail/A 30604-2023 FSC-klagomål mail.docx", "A 30604-2023")</f>
        <v/>
      </c>
      <c r="AC38">
        <f>HYPERLINK("https://klasma.github.io/Logging_0764/tillsyn/A 30604-2023 tillsynsbegäran.docx", "A 30604-2023")</f>
        <v/>
      </c>
      <c r="AD38">
        <f>HYPERLINK("https://klasma.github.io/Logging_0764/tillsynsmail/A 30604-2023 tillsynsbegäran mail.docx", "A 30604-2023")</f>
        <v/>
      </c>
      <c r="AE38">
        <f>HYPERLINK("https://klasma.github.io/Logging_0764/fåglar/A 30604-2023 prioriterade fågelarter.docx", "A 30604-2023")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46237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11669-2024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46237</v>
      </c>
      <c r="F40" t="inlineStr">
        <is>
          <t>KRONOBERGS LÄN</t>
        </is>
      </c>
      <c r="G40" t="inlineStr">
        <is>
          <t>ALVESTA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Skuggmossa</t>
        </is>
      </c>
      <c r="W40">
        <f>HYPERLINK("https://klasma.github.io/Logging_0764/artfynd/A 11669-2024 artfynd.xlsx", "A 11669-2024")</f>
        <v/>
      </c>
      <c r="X40">
        <f>HYPERLINK("https://klasma.github.io/Logging_0764/kartor/A 11669-2024 karta.png", "A 11669-2024")</f>
        <v/>
      </c>
      <c r="Y40">
        <f>HYPERLINK("https://klasma.github.io/Logging_0764/kartor_geotiff/A 11669-2024 georefererad karta.tif", "A 11669-2024")</f>
        <v/>
      </c>
      <c r="AA40">
        <f>HYPERLINK("https://klasma.github.io/Logging_0764/klagomål/A 11669-2024 FSC-klagomål.docx", "A 11669-2024")</f>
        <v/>
      </c>
      <c r="AB40">
        <f>HYPERLINK("https://klasma.github.io/Logging_0764/klagomålsmail/A 11669-2024 FSC-klagomål mail.docx", "A 11669-2024")</f>
        <v/>
      </c>
      <c r="AC40">
        <f>HYPERLINK("https://klasma.github.io/Logging_0764/tillsyn/A 11669-2024 tillsynsbegäran.docx", "A 11669-2024")</f>
        <v/>
      </c>
      <c r="AD40">
        <f>HYPERLINK("https://klasma.github.io/Logging_0764/tillsynsmail/A 11669-2024 tillsynsbegäran mail.docx", "A 11669-2024")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46237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46348-2021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44442</v>
      </c>
      <c r="E42" s="1" t="n">
        <v>46237</v>
      </c>
      <c r="F42" t="inlineStr">
        <is>
          <t>KRONOBERGS LÄN</t>
        </is>
      </c>
      <c r="G42" t="inlineStr">
        <is>
          <t>ALVESTA</t>
        </is>
      </c>
      <c r="I42" t="n">
        <v>3.9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Gulsparv</t>
        </is>
      </c>
      <c r="W42">
        <f>HYPERLINK("https://klasma.github.io/Logging_0764/artfynd/A 46348-2021 artfynd.xlsx", "A 46348-2021")</f>
        <v/>
      </c>
      <c r="X42">
        <f>HYPERLINK("https://klasma.github.io/Logging_0764/kartor/A 46348-2021 karta.png", "A 46348-2021")</f>
        <v/>
      </c>
      <c r="Y42">
        <f>HYPERLINK("https://klasma.github.io/Logging_0764/kartor_geotiff/A 46348-2021 georefererad karta.tif", "A 46348-2021")</f>
        <v/>
      </c>
      <c r="AA42">
        <f>HYPERLINK("https://klasma.github.io/Logging_0764/klagomål/A 46348-2021 FSC-klagomål.docx", "A 46348-2021")</f>
        <v/>
      </c>
      <c r="AB42">
        <f>HYPERLINK("https://klasma.github.io/Logging_0764/klagomålsmail/A 46348-2021 FSC-klagomål mail.docx", "A 46348-2021")</f>
        <v/>
      </c>
      <c r="AC42">
        <f>HYPERLINK("https://klasma.github.io/Logging_0764/tillsyn/A 46348-2021 tillsynsbegäran.docx", "A 46348-2021")</f>
        <v/>
      </c>
      <c r="AD42">
        <f>HYPERLINK("https://klasma.github.io/Logging_0764/tillsynsmail/A 46348-2021 tillsynsbegäran mail.docx", "A 46348-2021")</f>
        <v/>
      </c>
      <c r="AE42">
        <f>HYPERLINK("https://klasma.github.io/Logging_0764/fåglar/A 46348-2021 prioriterade fågelarter.docx", "A 46348-2021")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46237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46237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1811-2025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45670</v>
      </c>
      <c r="E45" s="1" t="n">
        <v>46237</v>
      </c>
      <c r="F45" t="inlineStr">
        <is>
          <t>KRONOBERGS LÄN</t>
        </is>
      </c>
      <c r="G45" t="inlineStr">
        <is>
          <t>ALVESTA</t>
        </is>
      </c>
      <c r="H45" t="inlineStr">
        <is>
          <t>Kyrkan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Spillkråka</t>
        </is>
      </c>
      <c r="W45">
        <f>HYPERLINK("https://klasma.github.io/Logging_0764/artfynd/A 1811-2025 artfynd.xlsx", "A 1811-2025")</f>
        <v/>
      </c>
      <c r="X45">
        <f>HYPERLINK("https://klasma.github.io/Logging_0764/kartor/A 1811-2025 karta.png", "A 1811-2025")</f>
        <v/>
      </c>
      <c r="Y45">
        <f>HYPERLINK("https://klasma.github.io/Logging_0764/kartor_geotiff/A 1811-2025 georefererad karta.tif", "A 1811-2025")</f>
        <v/>
      </c>
      <c r="AA45">
        <f>HYPERLINK("https://klasma.github.io/Logging_0764/klagomål/A 1811-2025 FSC-klagomål.docx", "A 1811-2025")</f>
        <v/>
      </c>
      <c r="AB45">
        <f>HYPERLINK("https://klasma.github.io/Logging_0764/klagomålsmail/A 1811-2025 FSC-klagomål mail.docx", "A 1811-2025")</f>
        <v/>
      </c>
      <c r="AC45">
        <f>HYPERLINK("https://klasma.github.io/Logging_0764/tillsyn/A 1811-2025 tillsynsbegäran.docx", "A 1811-2025")</f>
        <v/>
      </c>
      <c r="AD45">
        <f>HYPERLINK("https://klasma.github.io/Logging_0764/tillsynsmail/A 1811-2025 tillsynsbegäran mail.docx", "A 1811-2025")</f>
        <v/>
      </c>
      <c r="AE45">
        <f>HYPERLINK("https://klasma.github.io/Logging_0764/fåglar/A 1811-2025 prioriterade fågelarter.docx", "A 1811-2025")</f>
        <v/>
      </c>
    </row>
    <row r="46" ht="15" customHeight="1">
      <c r="A46" t="inlineStr">
        <is>
          <t>A 38890-2024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46237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0</v>
      </c>
      <c r="V46" s="2" t="inlineStr">
        <is>
          <t>Hårklomossa</t>
        </is>
      </c>
      <c r="W46">
        <f>HYPERLINK("https://klasma.github.io/Logging_0764/artfynd/A 38890-2024 artfynd.xlsx", "A 38890-2024")</f>
        <v/>
      </c>
      <c r="X46">
        <f>HYPERLINK("https://klasma.github.io/Logging_0764/kartor/A 38890-2024 karta.png", "A 38890-2024")</f>
        <v/>
      </c>
      <c r="Y46">
        <f>HYPERLINK("https://klasma.github.io/Logging_0764/kartor_geotiff/A 38890-2024 georefererad karta.tif", "A 38890-2024")</f>
        <v/>
      </c>
      <c r="AA46">
        <f>HYPERLINK("https://klasma.github.io/Logging_0764/klagomål/A 38890-2024 FSC-klagomål.docx", "A 38890-2024")</f>
        <v/>
      </c>
      <c r="AB46">
        <f>HYPERLINK("https://klasma.github.io/Logging_0764/klagomålsmail/A 38890-2024 FSC-klagomål mail.docx", "A 38890-2024")</f>
        <v/>
      </c>
      <c r="AC46">
        <f>HYPERLINK("https://klasma.github.io/Logging_0764/tillsyn/A 38890-2024 tillsynsbegäran.docx", "A 38890-2024")</f>
        <v/>
      </c>
      <c r="AD46">
        <f>HYPERLINK("https://klasma.github.io/Logging_0764/tillsynsmail/A 38890-2024 tillsynsbegäran mail.docx", "A 38890-2024")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46237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46237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46237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46237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36764-2022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46237</v>
      </c>
      <c r="F51" t="inlineStr">
        <is>
          <t>KRONOBERGS LÄN</t>
        </is>
      </c>
      <c r="G51" t="inlineStr">
        <is>
          <t>ALVESTA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44768</v>
      </c>
      <c r="E52" s="1" t="n">
        <v>46237</v>
      </c>
      <c r="F52" t="inlineStr">
        <is>
          <t>KRONOBERGS LÄN</t>
        </is>
      </c>
      <c r="G52" t="inlineStr">
        <is>
          <t>ALVESTA</t>
        </is>
      </c>
      <c r="I52" t="n">
        <v>12.8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46237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46237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46237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46237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46237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46237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46237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46237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46237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46237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46237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46237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46237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46237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46237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46237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46237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46237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46237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46237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46237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46237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46237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46237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44412</v>
      </c>
      <c r="E77" s="1" t="n">
        <v>46237</v>
      </c>
      <c r="F77" t="inlineStr">
        <is>
          <t>KRONOBERGS LÄN</t>
        </is>
      </c>
      <c r="G77" t="inlineStr">
        <is>
          <t>ALVESTA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46237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46237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46237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46237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46237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46237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44412</v>
      </c>
      <c r="E84" s="1" t="n">
        <v>46237</v>
      </c>
      <c r="F84" t="inlineStr">
        <is>
          <t>KRONOBERGS LÄN</t>
        </is>
      </c>
      <c r="G84" t="inlineStr">
        <is>
          <t>ALVESTA</t>
        </is>
      </c>
      <c r="I84" t="n">
        <v>7.9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46237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46237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46237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46237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46237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46237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46237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46237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46237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46237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46237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46237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46237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46237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46237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46237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46237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46237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46237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46237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46237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46237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46237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46237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46237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46237</v>
      </c>
      <c r="F110" t="inlineStr">
        <is>
          <t>KRONOBERGS LÄN</t>
        </is>
      </c>
      <c r="G110" t="inlineStr">
        <is>
          <t>ALVESTA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46237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46237</v>
      </c>
      <c r="F112" t="inlineStr">
        <is>
          <t>KRONOBERGS LÄN</t>
        </is>
      </c>
      <c r="G112" t="inlineStr">
        <is>
          <t>ALVESTA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46237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46237</v>
      </c>
      <c r="F114" t="inlineStr">
        <is>
          <t>KRONOBERGS LÄN</t>
        </is>
      </c>
      <c r="G114" t="inlineStr">
        <is>
          <t>ALVESTA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46237</v>
      </c>
      <c r="F115" t="inlineStr">
        <is>
          <t>KRONOBERGS LÄN</t>
        </is>
      </c>
      <c r="G115" t="inlineStr">
        <is>
          <t>ALVESTA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46237</v>
      </c>
      <c r="F116" t="inlineStr">
        <is>
          <t>KRONOBERGS LÄN</t>
        </is>
      </c>
      <c r="G116" t="inlineStr">
        <is>
          <t>ALVESTA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44635</v>
      </c>
      <c r="E117" s="1" t="n">
        <v>46237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70869-2021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44538</v>
      </c>
      <c r="E118" s="1" t="n">
        <v>46237</v>
      </c>
      <c r="F118" t="inlineStr">
        <is>
          <t>KRONOBERGS LÄN</t>
        </is>
      </c>
      <c r="G118" t="inlineStr">
        <is>
          <t>ALVESTA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46237</v>
      </c>
      <c r="F119" t="inlineStr">
        <is>
          <t>KRONOBERGS LÄN</t>
        </is>
      </c>
      <c r="G119" t="inlineStr">
        <is>
          <t>ALVESTA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46237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53937-2021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46237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46237</v>
      </c>
      <c r="F122" t="inlineStr">
        <is>
          <t>KRONOBERGS LÄN</t>
        </is>
      </c>
      <c r="G122" t="inlineStr">
        <is>
          <t>ALVESTA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44477</v>
      </c>
      <c r="E123" s="1" t="n">
        <v>46237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46237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46237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62704-2021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44504</v>
      </c>
      <c r="E126" s="1" t="n">
        <v>46237</v>
      </c>
      <c r="F126" t="inlineStr">
        <is>
          <t>KRONOBERGS LÄN</t>
        </is>
      </c>
      <c r="G126" t="inlineStr">
        <is>
          <t>ALVESTA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46237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46237</v>
      </c>
      <c r="F128" t="inlineStr">
        <is>
          <t>KRONOBERGS LÄN</t>
        </is>
      </c>
      <c r="G128" t="inlineStr">
        <is>
          <t>ALVESTA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46237</v>
      </c>
      <c r="F129" t="inlineStr">
        <is>
          <t>KRONOBERGS LÄN</t>
        </is>
      </c>
      <c r="G129" t="inlineStr">
        <is>
          <t>ALVESTA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46237</v>
      </c>
      <c r="F130" t="inlineStr">
        <is>
          <t>KRONOBERGS LÄN</t>
        </is>
      </c>
      <c r="G130" t="inlineStr">
        <is>
          <t>ALVESTA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46237</v>
      </c>
      <c r="F131" t="inlineStr">
        <is>
          <t>KRONOBERGS LÄN</t>
        </is>
      </c>
      <c r="G131" t="inlineStr">
        <is>
          <t>ALVESTA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46237</v>
      </c>
      <c r="F132" t="inlineStr">
        <is>
          <t>KRONOBERGS LÄN</t>
        </is>
      </c>
      <c r="G132" t="inlineStr">
        <is>
          <t>ALVESTA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46237</v>
      </c>
      <c r="F133" t="inlineStr">
        <is>
          <t>KRONOBERGS LÄN</t>
        </is>
      </c>
      <c r="G133" t="inlineStr">
        <is>
          <t>ALVESTA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57987-2021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46237</v>
      </c>
      <c r="F134" t="inlineStr">
        <is>
          <t>KRONOBERGS LÄN</t>
        </is>
      </c>
      <c r="G134" t="inlineStr">
        <is>
          <t>ALVESTA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46237</v>
      </c>
      <c r="F135" t="inlineStr">
        <is>
          <t>KRONOBERGS LÄN</t>
        </is>
      </c>
      <c r="G135" t="inlineStr">
        <is>
          <t>ALVESTA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46237</v>
      </c>
      <c r="F136" t="inlineStr">
        <is>
          <t>KRONOBERGS LÄN</t>
        </is>
      </c>
      <c r="G136" t="inlineStr">
        <is>
          <t>ALVESTA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46237</v>
      </c>
      <c r="F137" t="inlineStr">
        <is>
          <t>KRONOBERGS LÄN</t>
        </is>
      </c>
      <c r="G137" t="inlineStr">
        <is>
          <t>ALVESTA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45436</v>
      </c>
      <c r="E138" s="1" t="n">
        <v>46237</v>
      </c>
      <c r="F138" t="inlineStr">
        <is>
          <t>KRONOBERGS LÄN</t>
        </is>
      </c>
      <c r="G138" t="inlineStr">
        <is>
          <t>ALVESTA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46237</v>
      </c>
      <c r="F139" t="inlineStr">
        <is>
          <t>KRONOBERGS LÄN</t>
        </is>
      </c>
      <c r="G139" t="inlineStr">
        <is>
          <t>ALVESTA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46237</v>
      </c>
      <c r="F140" t="inlineStr">
        <is>
          <t>KRONOBERGS LÄN</t>
        </is>
      </c>
      <c r="G140" t="inlineStr">
        <is>
          <t>ALVESTA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46237</v>
      </c>
      <c r="F141" t="inlineStr">
        <is>
          <t>KRONOBERGS LÄN</t>
        </is>
      </c>
      <c r="G141" t="inlineStr">
        <is>
          <t>ALVESTA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46237</v>
      </c>
      <c r="F142" t="inlineStr">
        <is>
          <t>KRONOBERGS LÄN</t>
        </is>
      </c>
      <c r="G142" t="inlineStr">
        <is>
          <t>ALVESTA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46237</v>
      </c>
      <c r="F143" t="inlineStr">
        <is>
          <t>KRONOBERGS LÄN</t>
        </is>
      </c>
      <c r="G143" t="inlineStr">
        <is>
          <t>ALVESTA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44873</v>
      </c>
      <c r="E144" s="1" t="n">
        <v>46237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45267</v>
      </c>
      <c r="E145" s="1" t="n">
        <v>46237</v>
      </c>
      <c r="F145" t="inlineStr">
        <is>
          <t>KRONOBERGS LÄN</t>
        </is>
      </c>
      <c r="G145" t="inlineStr">
        <is>
          <t>ALVESTA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46237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46237</v>
      </c>
      <c r="F147" t="inlineStr">
        <is>
          <t>KRONOBERGS LÄN</t>
        </is>
      </c>
      <c r="G147" t="inlineStr">
        <is>
          <t>ALVESTA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46237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44601</v>
      </c>
      <c r="E149" s="1" t="n">
        <v>46237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45305</v>
      </c>
      <c r="E150" s="1" t="n">
        <v>46237</v>
      </c>
      <c r="F150" t="inlineStr">
        <is>
          <t>KRONOBERGS LÄN</t>
        </is>
      </c>
      <c r="G150" t="inlineStr">
        <is>
          <t>ALVESTA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46237</v>
      </c>
      <c r="F151" t="inlineStr">
        <is>
          <t>KRONOBERGS LÄN</t>
        </is>
      </c>
      <c r="G151" t="inlineStr">
        <is>
          <t>ALVESTA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46237</v>
      </c>
      <c r="F152" t="inlineStr">
        <is>
          <t>KRONOBERGS LÄN</t>
        </is>
      </c>
      <c r="G152" t="inlineStr">
        <is>
          <t>ALVESTA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46237</v>
      </c>
      <c r="F153" t="inlineStr">
        <is>
          <t>KRONOBERGS LÄN</t>
        </is>
      </c>
      <c r="G153" t="inlineStr">
        <is>
          <t>ALVESTA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46237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46237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46237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46237</v>
      </c>
      <c r="F157" t="inlineStr">
        <is>
          <t>KRONOBERGS LÄN</t>
        </is>
      </c>
      <c r="G157" t="inlineStr">
        <is>
          <t>ALVESTA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46237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46237</v>
      </c>
      <c r="F159" t="inlineStr">
        <is>
          <t>KRONOBERGS LÄN</t>
        </is>
      </c>
      <c r="G159" t="inlineStr">
        <is>
          <t>ALVESTA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46237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72318-2021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44545</v>
      </c>
      <c r="E161" s="1" t="n">
        <v>46237</v>
      </c>
      <c r="F161" t="inlineStr">
        <is>
          <t>KRONOBERGS LÄN</t>
        </is>
      </c>
      <c r="G161" t="inlineStr">
        <is>
          <t>ALVESTA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50733-2023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45217</v>
      </c>
      <c r="E162" s="1" t="n">
        <v>46237</v>
      </c>
      <c r="F162" t="inlineStr">
        <is>
          <t>KRONOBERGS LÄN</t>
        </is>
      </c>
      <c r="G162" t="inlineStr">
        <is>
          <t>ALVESTA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44818-2024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46237</v>
      </c>
      <c r="F163" t="inlineStr">
        <is>
          <t>KRONOBERGS LÄN</t>
        </is>
      </c>
      <c r="G163" t="inlineStr">
        <is>
          <t>ALVESTA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46237</v>
      </c>
      <c r="F164" t="inlineStr">
        <is>
          <t>KRONOBERGS LÄN</t>
        </is>
      </c>
      <c r="G164" t="inlineStr">
        <is>
          <t>ALVESTA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46237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45136</v>
      </c>
      <c r="E166" s="1" t="n">
        <v>46237</v>
      </c>
      <c r="F166" t="inlineStr">
        <is>
          <t>KRONOBERGS LÄN</t>
        </is>
      </c>
      <c r="G166" t="inlineStr">
        <is>
          <t>ALVESTA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45128</v>
      </c>
      <c r="E167" s="1" t="n">
        <v>46237</v>
      </c>
      <c r="F167" t="inlineStr">
        <is>
          <t>KRONOBERGS LÄN</t>
        </is>
      </c>
      <c r="G167" t="inlineStr">
        <is>
          <t>ALVESTA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44455</v>
      </c>
      <c r="E168" s="1" t="n">
        <v>46237</v>
      </c>
      <c r="F168" t="inlineStr">
        <is>
          <t>KRONOBERGS LÄN</t>
        </is>
      </c>
      <c r="G168" t="inlineStr">
        <is>
          <t>ALVESTA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46237</v>
      </c>
      <c r="F169" t="inlineStr">
        <is>
          <t>KRONOBERGS LÄN</t>
        </is>
      </c>
      <c r="G169" t="inlineStr">
        <is>
          <t>ALVESTA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45362</v>
      </c>
      <c r="E170" s="1" t="n">
        <v>46237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46237</v>
      </c>
      <c r="F171" t="inlineStr">
        <is>
          <t>KRONOBERGS LÄN</t>
        </is>
      </c>
      <c r="G171" t="inlineStr">
        <is>
          <t>ALVESTA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46237</v>
      </c>
      <c r="F172" t="inlineStr">
        <is>
          <t>KRONOBERGS LÄN</t>
        </is>
      </c>
      <c r="G172" t="inlineStr">
        <is>
          <t>ALVESTA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46237</v>
      </c>
      <c r="F173" t="inlineStr">
        <is>
          <t>KRONOBERGS LÄN</t>
        </is>
      </c>
      <c r="G173" t="inlineStr">
        <is>
          <t>ALVESTA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44948</v>
      </c>
      <c r="E174" s="1" t="n">
        <v>46237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46237</v>
      </c>
      <c r="F175" t="inlineStr">
        <is>
          <t>KRONOBERGS LÄN</t>
        </is>
      </c>
      <c r="G175" t="inlineStr">
        <is>
          <t>ALVESTA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60478-2023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45259</v>
      </c>
      <c r="E176" s="1" t="n">
        <v>46237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46237</v>
      </c>
      <c r="F177" t="inlineStr">
        <is>
          <t>KRONOBERGS LÄN</t>
        </is>
      </c>
      <c r="G177" t="inlineStr">
        <is>
          <t>ALVESTA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46237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44657</v>
      </c>
      <c r="E179" s="1" t="n">
        <v>46237</v>
      </c>
      <c r="F179" t="inlineStr">
        <is>
          <t>KRONOBERGS LÄN</t>
        </is>
      </c>
      <c r="G179" t="inlineStr">
        <is>
          <t>ALVESTA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46237</v>
      </c>
      <c r="F180" t="inlineStr">
        <is>
          <t>KRONOBERGS LÄN</t>
        </is>
      </c>
      <c r="G180" t="inlineStr">
        <is>
          <t>ALVESTA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46237</v>
      </c>
      <c r="F181" t="inlineStr">
        <is>
          <t>KRONOBERGS LÄN</t>
        </is>
      </c>
      <c r="G181" t="inlineStr">
        <is>
          <t>ALVESTA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46237</v>
      </c>
      <c r="F182" t="inlineStr">
        <is>
          <t>KRONOBERGS LÄN</t>
        </is>
      </c>
      <c r="G182" t="inlineStr">
        <is>
          <t>ALVESTA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44901</v>
      </c>
      <c r="E183" s="1" t="n">
        <v>46237</v>
      </c>
      <c r="F183" t="inlineStr">
        <is>
          <t>KRONOBERGS LÄN</t>
        </is>
      </c>
      <c r="G183" t="inlineStr">
        <is>
          <t>ALVESTA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46237</v>
      </c>
      <c r="F184" t="inlineStr">
        <is>
          <t>KRONOBERGS LÄN</t>
        </is>
      </c>
      <c r="G184" t="inlineStr">
        <is>
          <t>ALVESTA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45447</v>
      </c>
      <c r="E185" s="1" t="n">
        <v>46237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46237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46237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46237</v>
      </c>
      <c r="F188" t="inlineStr">
        <is>
          <t>KRONOBERGS LÄN</t>
        </is>
      </c>
      <c r="G188" t="inlineStr">
        <is>
          <t>ALVESTA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46237</v>
      </c>
      <c r="F189" t="inlineStr">
        <is>
          <t>KRONOBERGS LÄN</t>
        </is>
      </c>
      <c r="G189" t="inlineStr">
        <is>
          <t>ALVESTA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45744</v>
      </c>
      <c r="E190" s="1" t="n">
        <v>46237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46237</v>
      </c>
      <c r="F191" t="inlineStr">
        <is>
          <t>KRONOBERGS LÄN</t>
        </is>
      </c>
      <c r="G191" t="inlineStr">
        <is>
          <t>ALVESTA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46237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46237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46237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46237</v>
      </c>
      <c r="F195" t="inlineStr">
        <is>
          <t>KRONOBERGS LÄN</t>
        </is>
      </c>
      <c r="G195" t="inlineStr">
        <is>
          <t>ALVESTA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46237</v>
      </c>
      <c r="F196" t="inlineStr">
        <is>
          <t>KRONOBERGS LÄN</t>
        </is>
      </c>
      <c r="G196" t="inlineStr">
        <is>
          <t>ALVESTA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46237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45565</v>
      </c>
      <c r="E198" s="1" t="n">
        <v>46237</v>
      </c>
      <c r="F198" t="inlineStr">
        <is>
          <t>KRONOBERGS LÄN</t>
        </is>
      </c>
      <c r="G198" t="inlineStr">
        <is>
          <t>ALVESTA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46058</v>
      </c>
      <c r="E199" s="1" t="n">
        <v>46237</v>
      </c>
      <c r="F199" t="inlineStr">
        <is>
          <t>KRONOBERGS LÄN</t>
        </is>
      </c>
      <c r="G199" t="inlineStr">
        <is>
          <t>ALVESTA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46237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46237</v>
      </c>
      <c r="F201" t="inlineStr">
        <is>
          <t>KRONOBERGS LÄN</t>
        </is>
      </c>
      <c r="G201" t="inlineStr">
        <is>
          <t>ALVESTA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46237</v>
      </c>
      <c r="F202" t="inlineStr">
        <is>
          <t>KRONOBERGS LÄN</t>
        </is>
      </c>
      <c r="G202" t="inlineStr">
        <is>
          <t>ALVESTA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44600</v>
      </c>
      <c r="E203" s="1" t="n">
        <v>46237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46237</v>
      </c>
      <c r="F204" t="inlineStr">
        <is>
          <t>KRONOBERGS LÄN</t>
        </is>
      </c>
      <c r="G204" t="inlineStr">
        <is>
          <t>ALVESTA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46237</v>
      </c>
      <c r="F205" t="inlineStr">
        <is>
          <t>KRONOBERGS LÄN</t>
        </is>
      </c>
      <c r="G205" t="inlineStr">
        <is>
          <t>ALVESTA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46237</v>
      </c>
      <c r="F206" t="inlineStr">
        <is>
          <t>KRONOBERGS LÄN</t>
        </is>
      </c>
      <c r="G206" t="inlineStr">
        <is>
          <t>ALVESTA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46237</v>
      </c>
      <c r="F207" t="inlineStr">
        <is>
          <t>KRONOBERGS LÄN</t>
        </is>
      </c>
      <c r="G207" t="inlineStr">
        <is>
          <t>ALVESTA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45858</v>
      </c>
      <c r="E208" s="1" t="n">
        <v>46237</v>
      </c>
      <c r="F208" t="inlineStr">
        <is>
          <t>KRONOBERGS LÄN</t>
        </is>
      </c>
      <c r="G208" t="inlineStr">
        <is>
          <t>ALVESTA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46237</v>
      </c>
      <c r="F209" t="inlineStr">
        <is>
          <t>KRONOBERGS LÄN</t>
        </is>
      </c>
      <c r="G209" t="inlineStr">
        <is>
          <t>ALVESTA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46237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45338</v>
      </c>
      <c r="E211" s="1" t="n">
        <v>46237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46237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46237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46237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46237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46237</v>
      </c>
      <c r="F216" t="inlineStr">
        <is>
          <t>KRONOBERGS LÄN</t>
        </is>
      </c>
      <c r="G216" t="inlineStr">
        <is>
          <t>ALVESTA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46237</v>
      </c>
      <c r="F217" t="inlineStr">
        <is>
          <t>KRONOBERGS LÄN</t>
        </is>
      </c>
      <c r="G217" t="inlineStr">
        <is>
          <t>ALVESTA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45916</v>
      </c>
      <c r="E218" s="1" t="n">
        <v>46237</v>
      </c>
      <c r="F218" t="inlineStr">
        <is>
          <t>KRONOBERGS LÄN</t>
        </is>
      </c>
      <c r="G218" t="inlineStr">
        <is>
          <t>ALVESTA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44189-2025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46237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60487-2023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45259</v>
      </c>
      <c r="E220" s="1" t="n">
        <v>46237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46237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46237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57118-2023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45245</v>
      </c>
      <c r="E223" s="1" t="n">
        <v>46237</v>
      </c>
      <c r="F223" t="inlineStr">
        <is>
          <t>KRONOBERGS LÄN</t>
        </is>
      </c>
      <c r="G223" t="inlineStr">
        <is>
          <t>ALVESTA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44783</v>
      </c>
      <c r="E224" s="1" t="n">
        <v>46237</v>
      </c>
      <c r="F224" t="inlineStr">
        <is>
          <t>KRONOBERGS LÄN</t>
        </is>
      </c>
      <c r="G224" t="inlineStr">
        <is>
          <t>ALVESTA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46237</v>
      </c>
      <c r="F225" t="inlineStr">
        <is>
          <t>KRONOBERGS LÄN</t>
        </is>
      </c>
      <c r="G225" t="inlineStr">
        <is>
          <t>ALVESTA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46237</v>
      </c>
      <c r="F226" t="inlineStr">
        <is>
          <t>KRONOBERGS LÄN</t>
        </is>
      </c>
      <c r="G226" t="inlineStr">
        <is>
          <t>ALVESTA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46237</v>
      </c>
      <c r="F227" t="inlineStr">
        <is>
          <t>KRONOBERGS LÄN</t>
        </is>
      </c>
      <c r="G227" t="inlineStr">
        <is>
          <t>ALVESTA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46237</v>
      </c>
      <c r="F228" t="inlineStr">
        <is>
          <t>KRONOBERGS LÄN</t>
        </is>
      </c>
      <c r="G228" t="inlineStr">
        <is>
          <t>ALVESTA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46237</v>
      </c>
      <c r="F229" t="inlineStr">
        <is>
          <t>KRONOBERGS LÄN</t>
        </is>
      </c>
      <c r="G229" t="inlineStr">
        <is>
          <t>ALVESTA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46237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26381-2022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44735</v>
      </c>
      <c r="E231" s="1" t="n">
        <v>46237</v>
      </c>
      <c r="F231" t="inlineStr">
        <is>
          <t>KRONOBERGS LÄN</t>
        </is>
      </c>
      <c r="G231" t="inlineStr">
        <is>
          <t>ALVESTA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46237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46237</v>
      </c>
      <c r="F233" t="inlineStr">
        <is>
          <t>KRONOBERGS LÄN</t>
        </is>
      </c>
      <c r="G233" t="inlineStr">
        <is>
          <t>ALVESTA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46237</v>
      </c>
      <c r="F234" t="inlineStr">
        <is>
          <t>KRONOBERGS LÄN</t>
        </is>
      </c>
      <c r="G234" t="inlineStr">
        <is>
          <t>ALVESTA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56552-2021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44480</v>
      </c>
      <c r="E235" s="1" t="n">
        <v>46237</v>
      </c>
      <c r="F235" t="inlineStr">
        <is>
          <t>KRONOBERGS LÄN</t>
        </is>
      </c>
      <c r="G235" t="inlineStr">
        <is>
          <t>ALVESTA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46237</v>
      </c>
      <c r="F236" t="inlineStr">
        <is>
          <t>KRONOBERGS LÄN</t>
        </is>
      </c>
      <c r="G236" t="inlineStr">
        <is>
          <t>ALVESTA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46237</v>
      </c>
      <c r="F237" t="inlineStr">
        <is>
          <t>KRONOBERGS LÄN</t>
        </is>
      </c>
      <c r="G237" t="inlineStr">
        <is>
          <t>ALVESTA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46237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45426</v>
      </c>
      <c r="E239" s="1" t="n">
        <v>46237</v>
      </c>
      <c r="F239" t="inlineStr">
        <is>
          <t>KRONOBERGS LÄN</t>
        </is>
      </c>
      <c r="G239" t="inlineStr">
        <is>
          <t>ALVESTA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46237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60760-2022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44914</v>
      </c>
      <c r="E241" s="1" t="n">
        <v>46237</v>
      </c>
      <c r="F241" t="inlineStr">
        <is>
          <t>KRONOBERGS LÄN</t>
        </is>
      </c>
      <c r="G241" t="inlineStr">
        <is>
          <t>ALVESTA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45678</v>
      </c>
      <c r="E242" s="1" t="n">
        <v>46237</v>
      </c>
      <c r="F242" t="inlineStr">
        <is>
          <t>KRONOBERGS LÄN</t>
        </is>
      </c>
      <c r="G242" t="inlineStr">
        <is>
          <t>ALVESTA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46237</v>
      </c>
      <c r="F243" t="inlineStr">
        <is>
          <t>KRONOBERGS LÄN</t>
        </is>
      </c>
      <c r="G243" t="inlineStr">
        <is>
          <t>ALVESTA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46237</v>
      </c>
      <c r="F244" t="inlineStr">
        <is>
          <t>KRONOBERGS LÄN</t>
        </is>
      </c>
      <c r="G244" t="inlineStr">
        <is>
          <t>ALVESTA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46237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46237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46237</v>
      </c>
      <c r="F247" t="inlineStr">
        <is>
          <t>KRONOBERGS LÄN</t>
        </is>
      </c>
      <c r="G247" t="inlineStr">
        <is>
          <t>ALVESTA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44991</v>
      </c>
      <c r="E248" s="1" t="n">
        <v>46237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46237</v>
      </c>
      <c r="F249" t="inlineStr">
        <is>
          <t>KRONOBERGS LÄN</t>
        </is>
      </c>
      <c r="G249" t="inlineStr">
        <is>
          <t>ALVESTA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44735</v>
      </c>
      <c r="E250" s="1" t="n">
        <v>46237</v>
      </c>
      <c r="F250" t="inlineStr">
        <is>
          <t>KRONOBERGS LÄN</t>
        </is>
      </c>
      <c r="G250" t="inlineStr">
        <is>
          <t>ALVESTA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45596</v>
      </c>
      <c r="E251" s="1" t="n">
        <v>46237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46237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46237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45890</v>
      </c>
      <c r="E254" s="1" t="n">
        <v>46237</v>
      </c>
      <c r="F254" t="inlineStr">
        <is>
          <t>KRONOBERGS LÄN</t>
        </is>
      </c>
      <c r="G254" t="inlineStr">
        <is>
          <t>ALVESTA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45196</v>
      </c>
      <c r="E255" s="1" t="n">
        <v>46237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44687</v>
      </c>
      <c r="E256" s="1" t="n">
        <v>46237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39263-2023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45166</v>
      </c>
      <c r="E257" s="1" t="n">
        <v>46237</v>
      </c>
      <c r="F257" t="inlineStr">
        <is>
          <t>KRONOBERGS LÄN</t>
        </is>
      </c>
      <c r="G257" t="inlineStr">
        <is>
          <t>ALVESTA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46237</v>
      </c>
      <c r="F258" t="inlineStr">
        <is>
          <t>KRONOBERGS LÄN</t>
        </is>
      </c>
      <c r="G258" t="inlineStr">
        <is>
          <t>ALVESTA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46237</v>
      </c>
      <c r="F259" t="inlineStr">
        <is>
          <t>KRONOBERGS LÄN</t>
        </is>
      </c>
      <c r="G259" t="inlineStr">
        <is>
          <t>ALVESTA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44747</v>
      </c>
      <c r="E260" s="1" t="n">
        <v>46237</v>
      </c>
      <c r="F260" t="inlineStr">
        <is>
          <t>KRONOBERGS LÄN</t>
        </is>
      </c>
      <c r="G260" t="inlineStr">
        <is>
          <t>ALVESTA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46237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45146</v>
      </c>
      <c r="E262" s="1" t="n">
        <v>46237</v>
      </c>
      <c r="F262" t="inlineStr">
        <is>
          <t>KRONOBERGS LÄN</t>
        </is>
      </c>
      <c r="G262" t="inlineStr">
        <is>
          <t>ALVESTA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46237</v>
      </c>
      <c r="F263" t="inlineStr">
        <is>
          <t>KRONOBERGS LÄN</t>
        </is>
      </c>
      <c r="G263" t="inlineStr">
        <is>
          <t>ALVESTA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44978</v>
      </c>
      <c r="E264" s="1" t="n">
        <v>46237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65092-2023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46237</v>
      </c>
      <c r="F265" t="inlineStr">
        <is>
          <t>KRONOBERGS LÄN</t>
        </is>
      </c>
      <c r="G265" t="inlineStr">
        <is>
          <t>ALVESTA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46237</v>
      </c>
      <c r="F266" t="inlineStr">
        <is>
          <t>KRONOBERGS LÄN</t>
        </is>
      </c>
      <c r="G266" t="inlineStr">
        <is>
          <t>ALVESTA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45478</v>
      </c>
      <c r="E267" s="1" t="n">
        <v>46237</v>
      </c>
      <c r="F267" t="inlineStr">
        <is>
          <t>KRONOBERGS LÄN</t>
        </is>
      </c>
      <c r="G267" t="inlineStr">
        <is>
          <t>ALVESTA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46237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46237</v>
      </c>
      <c r="F269" t="inlineStr">
        <is>
          <t>KRONOBERGS LÄN</t>
        </is>
      </c>
      <c r="G269" t="inlineStr">
        <is>
          <t>ALVESTA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46237</v>
      </c>
      <c r="F270" t="inlineStr">
        <is>
          <t>KRONOBERGS LÄN</t>
        </is>
      </c>
      <c r="G270" t="inlineStr">
        <is>
          <t>ALVESTA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46237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46237</v>
      </c>
      <c r="F272" t="inlineStr">
        <is>
          <t>KRONOBERGS LÄN</t>
        </is>
      </c>
      <c r="G272" t="inlineStr">
        <is>
          <t>ALVESTA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44783</v>
      </c>
      <c r="E273" s="1" t="n">
        <v>46237</v>
      </c>
      <c r="F273" t="inlineStr">
        <is>
          <t>KRONOBERGS LÄN</t>
        </is>
      </c>
      <c r="G273" t="inlineStr">
        <is>
          <t>ALVESTA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45418</v>
      </c>
      <c r="E274" s="1" t="n">
        <v>46237</v>
      </c>
      <c r="F274" t="inlineStr">
        <is>
          <t>KRONOBERGS LÄN</t>
        </is>
      </c>
      <c r="G274" t="inlineStr">
        <is>
          <t>ALVESTA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46237</v>
      </c>
      <c r="F275" t="inlineStr">
        <is>
          <t>KRONOBERGS LÄN</t>
        </is>
      </c>
      <c r="G275" t="inlineStr">
        <is>
          <t>ALVESTA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46237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46237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45664</v>
      </c>
      <c r="E278" s="1" t="n">
        <v>46237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58648-2024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45635</v>
      </c>
      <c r="E279" s="1" t="n">
        <v>46237</v>
      </c>
      <c r="F279" t="inlineStr">
        <is>
          <t>KRONOBERGS LÄN</t>
        </is>
      </c>
      <c r="G279" t="inlineStr">
        <is>
          <t>ALVESTA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45722</v>
      </c>
      <c r="E280" s="1" t="n">
        <v>46237</v>
      </c>
      <c r="F280" t="inlineStr">
        <is>
          <t>KRONOBERGS LÄN</t>
        </is>
      </c>
      <c r="G280" t="inlineStr">
        <is>
          <t>ALVESTA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46237</v>
      </c>
      <c r="F281" t="inlineStr">
        <is>
          <t>KRONOBERGS LÄN</t>
        </is>
      </c>
      <c r="G281" t="inlineStr">
        <is>
          <t>ALVESTA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46237</v>
      </c>
      <c r="F282" t="inlineStr">
        <is>
          <t>KRONOBERGS LÄN</t>
        </is>
      </c>
      <c r="G282" t="inlineStr">
        <is>
          <t>ALVESTA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44820</v>
      </c>
      <c r="E283" s="1" t="n">
        <v>46237</v>
      </c>
      <c r="F283" t="inlineStr">
        <is>
          <t>KRONOBERGS LÄN</t>
        </is>
      </c>
      <c r="G283" t="inlineStr">
        <is>
          <t>ALVESTA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46237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60770-2024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46237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46237</v>
      </c>
      <c r="F286" t="inlineStr">
        <is>
          <t>KRONOBERGS LÄN</t>
        </is>
      </c>
      <c r="G286" t="inlineStr">
        <is>
          <t>ALVESTA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46237</v>
      </c>
      <c r="F287" t="inlineStr">
        <is>
          <t>KRONOBERGS LÄN</t>
        </is>
      </c>
      <c r="G287" t="inlineStr">
        <is>
          <t>ALVESTA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46237</v>
      </c>
      <c r="F288" t="inlineStr">
        <is>
          <t>KRONOBERGS LÄN</t>
        </is>
      </c>
      <c r="G288" t="inlineStr">
        <is>
          <t>ALVESTA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46237</v>
      </c>
      <c r="F289" t="inlineStr">
        <is>
          <t>KRONOBERGS LÄN</t>
        </is>
      </c>
      <c r="G289" t="inlineStr">
        <is>
          <t>ALVESTA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46237</v>
      </c>
      <c r="F290" t="inlineStr">
        <is>
          <t>KRONOBERGS LÄN</t>
        </is>
      </c>
      <c r="G290" t="inlineStr">
        <is>
          <t>ALVESTA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46237</v>
      </c>
      <c r="F291" t="inlineStr">
        <is>
          <t>KRONOBERGS LÄN</t>
        </is>
      </c>
      <c r="G291" t="inlineStr">
        <is>
          <t>ALVESTA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45476</v>
      </c>
      <c r="E292" s="1" t="n">
        <v>46237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46237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46237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45854</v>
      </c>
      <c r="E295" s="1" t="n">
        <v>46237</v>
      </c>
      <c r="F295" t="inlineStr">
        <is>
          <t>KRONOBERGS LÄN</t>
        </is>
      </c>
      <c r="G295" t="inlineStr">
        <is>
          <t>ALVESTA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44995</v>
      </c>
      <c r="E296" s="1" t="n">
        <v>46237</v>
      </c>
      <c r="F296" t="inlineStr">
        <is>
          <t>KRONOBERGS LÄN</t>
        </is>
      </c>
      <c r="G296" t="inlineStr">
        <is>
          <t>ALVESTA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46237</v>
      </c>
      <c r="F297" t="inlineStr">
        <is>
          <t>KRONOBERGS LÄN</t>
        </is>
      </c>
      <c r="G297" t="inlineStr">
        <is>
          <t>ALVESTA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44487-2021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46237</v>
      </c>
      <c r="F298" t="inlineStr">
        <is>
          <t>KRONOBERGS LÄN</t>
        </is>
      </c>
      <c r="G298" t="inlineStr">
        <is>
          <t>ALVESTA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46237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45092</v>
      </c>
      <c r="E300" s="1" t="n">
        <v>46237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46237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46237</v>
      </c>
      <c r="F302" t="inlineStr">
        <is>
          <t>KRONOBERGS LÄN</t>
        </is>
      </c>
      <c r="G302" t="inlineStr">
        <is>
          <t>ALVESTA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46237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46237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46237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46203</v>
      </c>
      <c r="E306" s="1" t="n">
        <v>46237</v>
      </c>
      <c r="F306" t="inlineStr">
        <is>
          <t>KRONOBERGS LÄN</t>
        </is>
      </c>
      <c r="G306" t="inlineStr">
        <is>
          <t>ALVESTA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46237</v>
      </c>
      <c r="F307" t="inlineStr">
        <is>
          <t>KRONOBERGS LÄN</t>
        </is>
      </c>
      <c r="G307" t="inlineStr">
        <is>
          <t>ALVESTA</t>
        </is>
      </c>
      <c r="I307" t="n">
        <v>10.4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46237</v>
      </c>
      <c r="F308" t="inlineStr">
        <is>
          <t>KRONOBERGS LÄN</t>
        </is>
      </c>
      <c r="G308" t="inlineStr">
        <is>
          <t>ALVESTA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46204</v>
      </c>
      <c r="E309" s="1" t="n">
        <v>46237</v>
      </c>
      <c r="F309" t="inlineStr">
        <is>
          <t>KRONOBERGS LÄN</t>
        </is>
      </c>
      <c r="G309" t="inlineStr">
        <is>
          <t>ALVESTA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46237</v>
      </c>
      <c r="F310" t="inlineStr">
        <is>
          <t>KRONOBERGS LÄN</t>
        </is>
      </c>
      <c r="G310" t="inlineStr">
        <is>
          <t>ALVESTA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46237</v>
      </c>
      <c r="F311" t="inlineStr">
        <is>
          <t>KRONOBERGS LÄN</t>
        </is>
      </c>
      <c r="G311" t="inlineStr">
        <is>
          <t>ALVESTA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44805</v>
      </c>
      <c r="E312" s="1" t="n">
        <v>46237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46237</v>
      </c>
      <c r="F313" t="inlineStr">
        <is>
          <t>KRONOBERGS LÄN</t>
        </is>
      </c>
      <c r="G313" t="inlineStr">
        <is>
          <t>ALVESTA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40580-2021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44420</v>
      </c>
      <c r="E314" s="1" t="n">
        <v>46237</v>
      </c>
      <c r="F314" t="inlineStr">
        <is>
          <t>KRONOBERGS LÄN</t>
        </is>
      </c>
      <c r="G314" t="inlineStr">
        <is>
          <t>ALVESTA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29763-2026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46204</v>
      </c>
      <c r="E315" s="1" t="n">
        <v>46237</v>
      </c>
      <c r="F315" t="inlineStr">
        <is>
          <t>KRONOBERGS LÄN</t>
        </is>
      </c>
      <c r="G315" t="inlineStr">
        <is>
          <t>ALVESTA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46237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46237</v>
      </c>
      <c r="F317" t="inlineStr">
        <is>
          <t>KRONOBERGS LÄN</t>
        </is>
      </c>
      <c r="G317" t="inlineStr">
        <is>
          <t>ALVESTA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46237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46237</v>
      </c>
      <c r="F319" t="inlineStr">
        <is>
          <t>KRONOBERGS LÄN</t>
        </is>
      </c>
      <c r="G319" t="inlineStr">
        <is>
          <t>ALVESTA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46237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45247</v>
      </c>
      <c r="E321" s="1" t="n">
        <v>46237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46237</v>
      </c>
      <c r="F322" t="inlineStr">
        <is>
          <t>KRONOBERGS LÄN</t>
        </is>
      </c>
      <c r="G322" t="inlineStr">
        <is>
          <t>ALVESTA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46448-2021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44445</v>
      </c>
      <c r="E323" s="1" t="n">
        <v>46237</v>
      </c>
      <c r="F323" t="inlineStr">
        <is>
          <t>KRONOBERGS LÄN</t>
        </is>
      </c>
      <c r="G323" t="inlineStr">
        <is>
          <t>ALVESTA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46237</v>
      </c>
      <c r="F324" t="inlineStr">
        <is>
          <t>KRONOBERGS LÄN</t>
        </is>
      </c>
      <c r="G324" t="inlineStr">
        <is>
          <t>ALVESTA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46237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46237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44754</v>
      </c>
      <c r="E327" s="1" t="n">
        <v>46237</v>
      </c>
      <c r="F327" t="inlineStr">
        <is>
          <t>KRONOBERGS LÄN</t>
        </is>
      </c>
      <c r="G327" t="inlineStr">
        <is>
          <t>ALVESTA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46237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46237</v>
      </c>
      <c r="F329" t="inlineStr">
        <is>
          <t>KRONOBERGS LÄN</t>
        </is>
      </c>
      <c r="G329" t="inlineStr">
        <is>
          <t>ALVESTA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46237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46237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46237</v>
      </c>
      <c r="F332" t="inlineStr">
        <is>
          <t>KRONOBERGS LÄN</t>
        </is>
      </c>
      <c r="G332" t="inlineStr">
        <is>
          <t>ALVESTA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45692</v>
      </c>
      <c r="E333" s="1" t="n">
        <v>46237</v>
      </c>
      <c r="F333" t="inlineStr">
        <is>
          <t>KRONOBERGS LÄN</t>
        </is>
      </c>
      <c r="G333" t="inlineStr">
        <is>
          <t>ALVESTA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45159</v>
      </c>
      <c r="E334" s="1" t="n">
        <v>46237</v>
      </c>
      <c r="F334" t="inlineStr">
        <is>
          <t>KRONOBERGS LÄN</t>
        </is>
      </c>
      <c r="G334" t="inlineStr">
        <is>
          <t>ALVESTA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45076</v>
      </c>
      <c r="E335" s="1" t="n">
        <v>46237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36817-2024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45538</v>
      </c>
      <c r="E336" s="1" t="n">
        <v>46237</v>
      </c>
      <c r="F336" t="inlineStr">
        <is>
          <t>KRONOBERGS LÄN</t>
        </is>
      </c>
      <c r="G336" t="inlineStr">
        <is>
          <t>ALVESTA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46237</v>
      </c>
      <c r="F337" t="inlineStr">
        <is>
          <t>KRONOBERGS LÄN</t>
        </is>
      </c>
      <c r="G337" t="inlineStr">
        <is>
          <t>ALVESTA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28818-2022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46237</v>
      </c>
      <c r="F338" t="inlineStr">
        <is>
          <t>KRONOBERGS LÄN</t>
        </is>
      </c>
      <c r="G338" t="inlineStr">
        <is>
          <t>ALVESTA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60700-2025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45996</v>
      </c>
      <c r="E339" s="1" t="n">
        <v>46237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46237</v>
      </c>
      <c r="F340" t="inlineStr">
        <is>
          <t>KRONOBERGS LÄN</t>
        </is>
      </c>
      <c r="G340" t="inlineStr">
        <is>
          <t>ALVESTA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53917-2022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44880</v>
      </c>
      <c r="E341" s="1" t="n">
        <v>46237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46237</v>
      </c>
      <c r="F342" t="inlineStr">
        <is>
          <t>KRONOBERGS LÄN</t>
        </is>
      </c>
      <c r="G342" t="inlineStr">
        <is>
          <t>ALVESTA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46237</v>
      </c>
      <c r="F343" t="inlineStr">
        <is>
          <t>KRONOBERGS LÄN</t>
        </is>
      </c>
      <c r="G343" t="inlineStr">
        <is>
          <t>ALVESTA</t>
        </is>
      </c>
      <c r="H343" t="inlineStr">
        <is>
          <t>Kyrkan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46237</v>
      </c>
      <c r="F344" t="inlineStr">
        <is>
          <t>KRONOBERGS LÄN</t>
        </is>
      </c>
      <c r="G344" t="inlineStr">
        <is>
          <t>ALVESTA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46237</v>
      </c>
      <c r="F345" t="inlineStr">
        <is>
          <t>KRONOBERGS LÄN</t>
        </is>
      </c>
      <c r="G345" t="inlineStr">
        <is>
          <t>ALVESTA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46237</v>
      </c>
      <c r="F346" t="inlineStr">
        <is>
          <t>KRONOBERGS LÄN</t>
        </is>
      </c>
      <c r="G346" t="inlineStr">
        <is>
          <t>ALVESTA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45128</v>
      </c>
      <c r="E347" s="1" t="n">
        <v>46237</v>
      </c>
      <c r="F347" t="inlineStr">
        <is>
          <t>KRONOBERGS LÄN</t>
        </is>
      </c>
      <c r="G347" t="inlineStr">
        <is>
          <t>ALVESTA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46237</v>
      </c>
      <c r="F348" t="inlineStr">
        <is>
          <t>KRONOBERGS LÄN</t>
        </is>
      </c>
      <c r="G348" t="inlineStr">
        <is>
          <t>ALVESTA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45555</v>
      </c>
      <c r="E349" s="1" t="n">
        <v>46237</v>
      </c>
      <c r="F349" t="inlineStr">
        <is>
          <t>KRONOBERGS LÄN</t>
        </is>
      </c>
      <c r="G349" t="inlineStr">
        <is>
          <t>ALVESTA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45078</v>
      </c>
      <c r="E350" s="1" t="n">
        <v>46237</v>
      </c>
      <c r="F350" t="inlineStr">
        <is>
          <t>KRONOBERGS LÄN</t>
        </is>
      </c>
      <c r="G350" t="inlineStr">
        <is>
          <t>ALVESTA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45296</v>
      </c>
      <c r="E351" s="1" t="n">
        <v>46237</v>
      </c>
      <c r="F351" t="inlineStr">
        <is>
          <t>KRONOBERGS LÄN</t>
        </is>
      </c>
      <c r="G351" t="inlineStr">
        <is>
          <t>ALVESTA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45744</v>
      </c>
      <c r="E352" s="1" t="n">
        <v>46237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46237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46209</v>
      </c>
      <c r="E354" s="1" t="n">
        <v>46237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46237</v>
      </c>
      <c r="F355" t="inlineStr">
        <is>
          <t>KRONOBERGS LÄN</t>
        </is>
      </c>
      <c r="G355" t="inlineStr">
        <is>
          <t>ALVESTA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46237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46237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24420-2026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46169</v>
      </c>
      <c r="E358" s="1" t="n">
        <v>46237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38875-2022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44816</v>
      </c>
      <c r="E359" s="1" t="n">
        <v>46237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46212</v>
      </c>
      <c r="E360" s="1" t="n">
        <v>46237</v>
      </c>
      <c r="F360" t="inlineStr">
        <is>
          <t>KRONOBERGS LÄN</t>
        </is>
      </c>
      <c r="G360" t="inlineStr">
        <is>
          <t>ALVESTA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24419-2026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46169</v>
      </c>
      <c r="E361" s="1" t="n">
        <v>46237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62744-2025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46237</v>
      </c>
      <c r="F362" t="inlineStr">
        <is>
          <t>KRONOBERGS LÄN</t>
        </is>
      </c>
      <c r="G362" t="inlineStr">
        <is>
          <t>ALVESTA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46237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32374-2023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46237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46237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44907</v>
      </c>
      <c r="E366" s="1" t="n">
        <v>46237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46237</v>
      </c>
      <c r="F367" t="inlineStr">
        <is>
          <t>KRONOBERGS LÄN</t>
        </is>
      </c>
      <c r="G367" t="inlineStr">
        <is>
          <t>ALVESTA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46237</v>
      </c>
      <c r="F368" t="inlineStr">
        <is>
          <t>KRONOBERGS LÄN</t>
        </is>
      </c>
      <c r="G368" t="inlineStr">
        <is>
          <t>ALVESTA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46237</v>
      </c>
      <c r="F369" t="inlineStr">
        <is>
          <t>KRONOBERGS LÄN</t>
        </is>
      </c>
      <c r="G369" t="inlineStr">
        <is>
          <t>ALVESTA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46237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45089</v>
      </c>
      <c r="E371" s="1" t="n">
        <v>46237</v>
      </c>
      <c r="F371" t="inlineStr">
        <is>
          <t>KRONOBERGS LÄN</t>
        </is>
      </c>
      <c r="G371" t="inlineStr">
        <is>
          <t>ALVESTA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24692-2026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46237</v>
      </c>
      <c r="F372" t="inlineStr">
        <is>
          <t>KRONOBERGS LÄN</t>
        </is>
      </c>
      <c r="G372" t="inlineStr">
        <is>
          <t>ALVESTA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46237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46237</v>
      </c>
      <c r="F374" t="inlineStr">
        <is>
          <t>KRONOBERGS LÄN</t>
        </is>
      </c>
      <c r="G374" t="inlineStr">
        <is>
          <t>ALVESTA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45708</v>
      </c>
      <c r="E375" s="1" t="n">
        <v>46237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46237</v>
      </c>
      <c r="F376" t="inlineStr">
        <is>
          <t>KRONOBERGS LÄN</t>
        </is>
      </c>
      <c r="G376" t="inlineStr">
        <is>
          <t>ALVESTA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45341</v>
      </c>
      <c r="E377" s="1" t="n">
        <v>46237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45949</v>
      </c>
      <c r="E378" s="1" t="n">
        <v>46237</v>
      </c>
      <c r="F378" t="inlineStr">
        <is>
          <t>KRONOBERGS LÄN</t>
        </is>
      </c>
      <c r="G378" t="inlineStr">
        <is>
          <t>ALVESTA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59621-2023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46237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45336</v>
      </c>
      <c r="E380" s="1" t="n">
        <v>46237</v>
      </c>
      <c r="F380" t="inlineStr">
        <is>
          <t>KRONOBERGS LÄN</t>
        </is>
      </c>
      <c r="G380" t="inlineStr">
        <is>
          <t>ALVESTA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46237</v>
      </c>
      <c r="F381" t="inlineStr">
        <is>
          <t>KRONOBERGS LÄN</t>
        </is>
      </c>
      <c r="G381" t="inlineStr">
        <is>
          <t>ALVESTA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46237</v>
      </c>
      <c r="F382" t="inlineStr">
        <is>
          <t>KRONOBERGS LÄN</t>
        </is>
      </c>
      <c r="G382" t="inlineStr">
        <is>
          <t>ALVESTA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46237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46237</v>
      </c>
      <c r="F384" t="inlineStr">
        <is>
          <t>KRONOBERGS LÄN</t>
        </is>
      </c>
      <c r="G384" t="inlineStr">
        <is>
          <t>ALVESTA</t>
        </is>
      </c>
      <c r="H384" t="inlineStr">
        <is>
          <t>Kommuner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45055</v>
      </c>
      <c r="E385" s="1" t="n">
        <v>46237</v>
      </c>
      <c r="F385" t="inlineStr">
        <is>
          <t>KRONOBERGS LÄN</t>
        </is>
      </c>
      <c r="G385" t="inlineStr">
        <is>
          <t>ALVESTA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25609-2026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46237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45519</v>
      </c>
      <c r="E387" s="1" t="n">
        <v>46237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46237</v>
      </c>
      <c r="F388" t="inlineStr">
        <is>
          <t>KRONOBERGS LÄN</t>
        </is>
      </c>
      <c r="G388" t="inlineStr">
        <is>
          <t>ALVESTA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46237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46237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46237</v>
      </c>
      <c r="F391" t="inlineStr">
        <is>
          <t>KRONOBERGS LÄN</t>
        </is>
      </c>
      <c r="G391" t="inlineStr">
        <is>
          <t>ALVESTA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46237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45635</v>
      </c>
      <c r="E393" s="1" t="n">
        <v>46237</v>
      </c>
      <c r="F393" t="inlineStr">
        <is>
          <t>KRONOBERGS LÄN</t>
        </is>
      </c>
      <c r="G393" t="inlineStr">
        <is>
          <t>ALVESTA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44925</v>
      </c>
      <c r="E394" s="1" t="n">
        <v>46237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44601</v>
      </c>
      <c r="E395" s="1" t="n">
        <v>46237</v>
      </c>
      <c r="F395" t="inlineStr">
        <is>
          <t>KRONOBERGS LÄN</t>
        </is>
      </c>
      <c r="G395" t="inlineStr">
        <is>
          <t>ALVESTA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46237</v>
      </c>
      <c r="F396" t="inlineStr">
        <is>
          <t>KRONOBERGS LÄN</t>
        </is>
      </c>
      <c r="G396" t="inlineStr">
        <is>
          <t>ALVESTA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45540</v>
      </c>
      <c r="E397" s="1" t="n">
        <v>46237</v>
      </c>
      <c r="F397" t="inlineStr">
        <is>
          <t>KRONOBERGS LÄN</t>
        </is>
      </c>
      <c r="G397" t="inlineStr">
        <is>
          <t>ALVESTA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45482</v>
      </c>
      <c r="E398" s="1" t="n">
        <v>46237</v>
      </c>
      <c r="F398" t="inlineStr">
        <is>
          <t>KRONOBERGS LÄN</t>
        </is>
      </c>
      <c r="G398" t="inlineStr">
        <is>
          <t>ALVESTA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12608-2023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45000</v>
      </c>
      <c r="E399" s="1" t="n">
        <v>46237</v>
      </c>
      <c r="F399" t="inlineStr">
        <is>
          <t>KRONOBERGS LÄN</t>
        </is>
      </c>
      <c r="G399" t="inlineStr">
        <is>
          <t>ALVESTA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45032</v>
      </c>
      <c r="E400" s="1" t="n">
        <v>46237</v>
      </c>
      <c r="F400" t="inlineStr">
        <is>
          <t>KRONOBERGS LÄN</t>
        </is>
      </c>
      <c r="G400" t="inlineStr">
        <is>
          <t>ALVESTA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42364-2024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45563</v>
      </c>
      <c r="E401" s="1" t="n">
        <v>46237</v>
      </c>
      <c r="F401" t="inlineStr">
        <is>
          <t>KRONOBERGS LÄN</t>
        </is>
      </c>
      <c r="G401" t="inlineStr">
        <is>
          <t>ALVESTA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45180</v>
      </c>
      <c r="E402" s="1" t="n">
        <v>46237</v>
      </c>
      <c r="F402" t="inlineStr">
        <is>
          <t>KRONOBERGS LÄN</t>
        </is>
      </c>
      <c r="G402" t="inlineStr">
        <is>
          <t>ALVESTA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45771</v>
      </c>
      <c r="E403" s="1" t="n">
        <v>46237</v>
      </c>
      <c r="F403" t="inlineStr">
        <is>
          <t>KRONOBERGS LÄN</t>
        </is>
      </c>
      <c r="G403" t="inlineStr">
        <is>
          <t>ALVESTA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45771</v>
      </c>
      <c r="E404" s="1" t="n">
        <v>46237</v>
      </c>
      <c r="F404" t="inlineStr">
        <is>
          <t>KRONOBERGS LÄN</t>
        </is>
      </c>
      <c r="G404" t="inlineStr">
        <is>
          <t>ALVESTA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46237</v>
      </c>
      <c r="F405" t="inlineStr">
        <is>
          <t>KRONOBERGS LÄN</t>
        </is>
      </c>
      <c r="G405" t="inlineStr">
        <is>
          <t>ALVESTA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46237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45418</v>
      </c>
      <c r="E407" s="1" t="n">
        <v>46237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45418</v>
      </c>
      <c r="E408" s="1" t="n">
        <v>46237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46237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46237</v>
      </c>
      <c r="F410" t="inlineStr">
        <is>
          <t>KRONOBERGS LÄN</t>
        </is>
      </c>
      <c r="G410" t="inlineStr">
        <is>
          <t>ALVESTA</t>
        </is>
      </c>
      <c r="H410" t="inlineStr">
        <is>
          <t>Kyrkan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46237</v>
      </c>
      <c r="F411" t="inlineStr">
        <is>
          <t>KRONOBERGS LÄN</t>
        </is>
      </c>
      <c r="G411" t="inlineStr">
        <is>
          <t>ALVESTA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60157-2024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46237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46237</v>
      </c>
      <c r="F413" t="inlineStr">
        <is>
          <t>KRONOBERGS LÄN</t>
        </is>
      </c>
      <c r="G413" t="inlineStr">
        <is>
          <t>ALVESTA</t>
        </is>
      </c>
      <c r="I413" t="n">
        <v>9.6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46237</v>
      </c>
      <c r="F414" t="inlineStr">
        <is>
          <t>KRONOBERGS LÄN</t>
        </is>
      </c>
      <c r="G414" t="inlineStr">
        <is>
          <t>ALVESTA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45342</v>
      </c>
      <c r="E415" s="1" t="n">
        <v>46237</v>
      </c>
      <c r="F415" t="inlineStr">
        <is>
          <t>KRONOBERGS LÄN</t>
        </is>
      </c>
      <c r="G415" t="inlineStr">
        <is>
          <t>ALVESTA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45517</v>
      </c>
      <c r="E416" s="1" t="n">
        <v>46237</v>
      </c>
      <c r="F416" t="inlineStr">
        <is>
          <t>KRONOBERGS LÄN</t>
        </is>
      </c>
      <c r="G416" t="inlineStr">
        <is>
          <t>ALVESTA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45596</v>
      </c>
      <c r="E417" s="1" t="n">
        <v>46237</v>
      </c>
      <c r="F417" t="inlineStr">
        <is>
          <t>KRONOBERGS LÄN</t>
        </is>
      </c>
      <c r="G417" t="inlineStr">
        <is>
          <t>ALVESTA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46237</v>
      </c>
      <c r="F418" t="inlineStr">
        <is>
          <t>KRONOBERGS LÄN</t>
        </is>
      </c>
      <c r="G418" t="inlineStr">
        <is>
          <t>ALVESTA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27032-2026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46185</v>
      </c>
      <c r="E419" s="1" t="n">
        <v>46237</v>
      </c>
      <c r="F419" t="inlineStr">
        <is>
          <t>KRONOBERGS LÄN</t>
        </is>
      </c>
      <c r="G419" t="inlineStr">
        <is>
          <t>ALVESTA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45587</v>
      </c>
      <c r="E420" s="1" t="n">
        <v>46237</v>
      </c>
      <c r="F420" t="inlineStr">
        <is>
          <t>KRONOBERGS LÄN</t>
        </is>
      </c>
      <c r="G420" t="inlineStr">
        <is>
          <t>ALVESTA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27077-2026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46186</v>
      </c>
      <c r="E421" s="1" t="n">
        <v>46237</v>
      </c>
      <c r="F421" t="inlineStr">
        <is>
          <t>KRONOBERGS LÄN</t>
        </is>
      </c>
      <c r="G421" t="inlineStr">
        <is>
          <t>ALVESTA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46237</v>
      </c>
      <c r="F422" t="inlineStr">
        <is>
          <t>KRONOBERGS LÄN</t>
        </is>
      </c>
      <c r="G422" t="inlineStr">
        <is>
          <t>ALVESTA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46237</v>
      </c>
      <c r="F423" t="inlineStr">
        <is>
          <t>KRONOBERGS LÄN</t>
        </is>
      </c>
      <c r="G423" t="inlineStr">
        <is>
          <t>ALVESTA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52110-2024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46237</v>
      </c>
      <c r="F424" t="inlineStr">
        <is>
          <t>KRONOBERGS LÄN</t>
        </is>
      </c>
      <c r="G424" t="inlineStr">
        <is>
          <t>ALVESTA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46237</v>
      </c>
      <c r="F425" t="inlineStr">
        <is>
          <t>KRONOBERGS LÄN</t>
        </is>
      </c>
      <c r="G425" t="inlineStr">
        <is>
          <t>ALVESTA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44620</v>
      </c>
      <c r="E426" s="1" t="n">
        <v>46237</v>
      </c>
      <c r="F426" t="inlineStr">
        <is>
          <t>KRONOBERGS LÄN</t>
        </is>
      </c>
      <c r="G426" t="inlineStr">
        <is>
          <t>ALVESTA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46185</v>
      </c>
      <c r="E427" s="1" t="n">
        <v>46237</v>
      </c>
      <c r="F427" t="inlineStr">
        <is>
          <t>KRONOBERGS LÄN</t>
        </is>
      </c>
      <c r="G427" t="inlineStr">
        <is>
          <t>ALVESTA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53226-2024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45613</v>
      </c>
      <c r="E428" s="1" t="n">
        <v>46237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46237</v>
      </c>
      <c r="F429" t="inlineStr">
        <is>
          <t>KRONOBERGS LÄN</t>
        </is>
      </c>
      <c r="G429" t="inlineStr">
        <is>
          <t>ALVESTA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45009</v>
      </c>
      <c r="E430" s="1" t="n">
        <v>46237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45362</v>
      </c>
      <c r="E431" s="1" t="n">
        <v>46237</v>
      </c>
      <c r="F431" t="inlineStr">
        <is>
          <t>KRONOBERGS LÄN</t>
        </is>
      </c>
      <c r="G431" t="inlineStr">
        <is>
          <t>ALVESTA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60559-2022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44911</v>
      </c>
      <c r="E432" s="1" t="n">
        <v>46237</v>
      </c>
      <c r="F432" t="inlineStr">
        <is>
          <t>KRONOBERGS LÄN</t>
        </is>
      </c>
      <c r="G432" t="inlineStr">
        <is>
          <t>ALVESTA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46237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45632</v>
      </c>
      <c r="E434" s="1" t="n">
        <v>46237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46237</v>
      </c>
      <c r="F435" t="inlineStr">
        <is>
          <t>KRONOBERGS LÄN</t>
        </is>
      </c>
      <c r="G435" t="inlineStr">
        <is>
          <t>ALVESTA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45608</v>
      </c>
      <c r="E436" s="1" t="n">
        <v>46237</v>
      </c>
      <c r="F436" t="inlineStr">
        <is>
          <t>KRONOBERGS LÄN</t>
        </is>
      </c>
      <c r="G436" t="inlineStr">
        <is>
          <t>ALVESTA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45447</v>
      </c>
      <c r="E437" s="1" t="n">
        <v>46237</v>
      </c>
      <c r="F437" t="inlineStr">
        <is>
          <t>KRONOBERGS LÄN</t>
        </is>
      </c>
      <c r="G437" t="inlineStr">
        <is>
          <t>ALVESTA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46237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45114</v>
      </c>
      <c r="E439" s="1" t="n">
        <v>46237</v>
      </c>
      <c r="F439" t="inlineStr">
        <is>
          <t>KRONOBERGS LÄN</t>
        </is>
      </c>
      <c r="G439" t="inlineStr">
        <is>
          <t>ALVESTA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760-2022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44569</v>
      </c>
      <c r="E440" s="1" t="n">
        <v>46237</v>
      </c>
      <c r="F440" t="inlineStr">
        <is>
          <t>KRONOBERGS LÄN</t>
        </is>
      </c>
      <c r="G440" t="inlineStr">
        <is>
          <t>ALVESTA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44606</v>
      </c>
      <c r="E441" s="1" t="n">
        <v>46237</v>
      </c>
      <c r="F441" t="inlineStr">
        <is>
          <t>KRONOBERGS LÄN</t>
        </is>
      </c>
      <c r="G441" t="inlineStr">
        <is>
          <t>ALVESTA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12818-2025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45733</v>
      </c>
      <c r="E442" s="1" t="n">
        <v>46237</v>
      </c>
      <c r="F442" t="inlineStr">
        <is>
          <t>KRONOBERGS LÄN</t>
        </is>
      </c>
      <c r="G442" t="inlineStr">
        <is>
          <t>ALVESTA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37843-2024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46237</v>
      </c>
      <c r="F443" t="inlineStr">
        <is>
          <t>KRONOBERGS LÄN</t>
        </is>
      </c>
      <c r="G443" t="inlineStr">
        <is>
          <t>ALVESTA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46237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50976-2023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46237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44978</v>
      </c>
      <c r="E446" s="1" t="n">
        <v>46237</v>
      </c>
      <c r="F446" t="inlineStr">
        <is>
          <t>KRONOBERGS LÄN</t>
        </is>
      </c>
      <c r="G446" t="inlineStr">
        <is>
          <t>ALVESTA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45471</v>
      </c>
      <c r="E447" s="1" t="n">
        <v>46237</v>
      </c>
      <c r="F447" t="inlineStr">
        <is>
          <t>KRONOBERGS LÄN</t>
        </is>
      </c>
      <c r="G447" t="inlineStr">
        <is>
          <t>ALVESTA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27252-2024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45471</v>
      </c>
      <c r="E448" s="1" t="n">
        <v>46237</v>
      </c>
      <c r="F448" t="inlineStr">
        <is>
          <t>KRONOBERGS LÄN</t>
        </is>
      </c>
      <c r="G448" t="inlineStr">
        <is>
          <t>ALVESTA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44994</v>
      </c>
      <c r="E449" s="1" t="n">
        <v>46237</v>
      </c>
      <c r="F449" t="inlineStr">
        <is>
          <t>KRONOBERGS LÄN</t>
        </is>
      </c>
      <c r="G449" t="inlineStr">
        <is>
          <t>ALVESTA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52040-2024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45608</v>
      </c>
      <c r="E450" s="1" t="n">
        <v>46237</v>
      </c>
      <c r="F450" t="inlineStr">
        <is>
          <t>KRONOBERGS LÄN</t>
        </is>
      </c>
      <c r="G450" t="inlineStr">
        <is>
          <t>ALVESTA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45338</v>
      </c>
      <c r="E451" s="1" t="n">
        <v>46237</v>
      </c>
      <c r="F451" t="inlineStr">
        <is>
          <t>KRONOBERGS LÄN</t>
        </is>
      </c>
      <c r="G451" t="inlineStr">
        <is>
          <t>ALVESTA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46237</v>
      </c>
      <c r="F452" t="inlineStr">
        <is>
          <t>KRONOBERGS LÄN</t>
        </is>
      </c>
      <c r="G452" t="inlineStr">
        <is>
          <t>ALVESTA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7342-2024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45345</v>
      </c>
      <c r="E453" s="1" t="n">
        <v>46237</v>
      </c>
      <c r="F453" t="inlineStr">
        <is>
          <t>KRONOBERGS LÄN</t>
        </is>
      </c>
      <c r="G453" t="inlineStr">
        <is>
          <t>ALVESTA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46237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46237</v>
      </c>
      <c r="F455" t="inlineStr">
        <is>
          <t>KRONOBERGS LÄN</t>
        </is>
      </c>
      <c r="G455" t="inlineStr">
        <is>
          <t>ALVESTA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67331-2021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44523</v>
      </c>
      <c r="E456" s="1" t="n">
        <v>46237</v>
      </c>
      <c r="F456" t="inlineStr">
        <is>
          <t>KRONOBERGS LÄN</t>
        </is>
      </c>
      <c r="G456" t="inlineStr">
        <is>
          <t>ALVESTA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44581</v>
      </c>
      <c r="E457" s="1" t="n">
        <v>46237</v>
      </c>
      <c r="F457" t="inlineStr">
        <is>
          <t>KRONOBERGS LÄN</t>
        </is>
      </c>
      <c r="G457" t="inlineStr">
        <is>
          <t>ALVESTA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46237</v>
      </c>
      <c r="F458" t="inlineStr">
        <is>
          <t>KRONOBERGS LÄN</t>
        </is>
      </c>
      <c r="G458" t="inlineStr">
        <is>
          <t>ALVESTA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46237</v>
      </c>
      <c r="F459" t="inlineStr">
        <is>
          <t>KRONOBERGS LÄN</t>
        </is>
      </c>
      <c r="G459" t="inlineStr">
        <is>
          <t>ALVESTA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11129-2026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46079</v>
      </c>
      <c r="E460" s="1" t="n">
        <v>46237</v>
      </c>
      <c r="F460" t="inlineStr">
        <is>
          <t>KRONOBERGS LÄN</t>
        </is>
      </c>
      <c r="G460" t="inlineStr">
        <is>
          <t>ALVESTA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11331-2026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46081</v>
      </c>
      <c r="E461" s="1" t="n">
        <v>46237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46237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46237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46237</v>
      </c>
      <c r="F464" t="inlineStr">
        <is>
          <t>KRONOBERGS LÄN</t>
        </is>
      </c>
      <c r="G464" t="inlineStr">
        <is>
          <t>ALVESTA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46084</v>
      </c>
      <c r="E465" s="1" t="n">
        <v>46237</v>
      </c>
      <c r="F465" t="inlineStr">
        <is>
          <t>KRONOBERGS LÄN</t>
        </is>
      </c>
      <c r="G465" t="inlineStr">
        <is>
          <t>ALVESTA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45530</v>
      </c>
      <c r="E466" s="1" t="n">
        <v>46237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46237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12260-2023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44998</v>
      </c>
      <c r="E468" s="1" t="n">
        <v>46237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12258-2026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46087</v>
      </c>
      <c r="E469" s="1" t="n">
        <v>46237</v>
      </c>
      <c r="F469" t="inlineStr">
        <is>
          <t>KRONOBERGS LÄN</t>
        </is>
      </c>
      <c r="G469" t="inlineStr">
        <is>
          <t>ALVESTA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12065-2025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46237</v>
      </c>
      <c r="F470" t="inlineStr">
        <is>
          <t>KRONOBERGS LÄN</t>
        </is>
      </c>
      <c r="G470" t="inlineStr">
        <is>
          <t>ALVESTA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46237</v>
      </c>
      <c r="F471" t="inlineStr">
        <is>
          <t>KRONOBERGS LÄN</t>
        </is>
      </c>
      <c r="G471" t="inlineStr">
        <is>
          <t>ALVESTA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45264</v>
      </c>
      <c r="E472" s="1" t="n">
        <v>46237</v>
      </c>
      <c r="F472" t="inlineStr">
        <is>
          <t>KRONOBERGS LÄN</t>
        </is>
      </c>
      <c r="G472" t="inlineStr">
        <is>
          <t>ALVESTA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15262-2024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46237</v>
      </c>
      <c r="F473" t="inlineStr">
        <is>
          <t>KRONOBERGS LÄN</t>
        </is>
      </c>
      <c r="G473" t="inlineStr">
        <is>
          <t>ALVESTA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46237</v>
      </c>
      <c r="F474" t="inlineStr">
        <is>
          <t>KRONOBERGS LÄN</t>
        </is>
      </c>
      <c r="G474" t="inlineStr">
        <is>
          <t>ALVESTA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9244-2024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45358</v>
      </c>
      <c r="E475" s="1" t="n">
        <v>46237</v>
      </c>
      <c r="F475" t="inlineStr">
        <is>
          <t>KRONOBERGS LÄN</t>
        </is>
      </c>
      <c r="G475" t="inlineStr">
        <is>
          <t>ALVESTA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44958</v>
      </c>
      <c r="E476" s="1" t="n">
        <v>46237</v>
      </c>
      <c r="F476" t="inlineStr">
        <is>
          <t>KRONOBERGS LÄN</t>
        </is>
      </c>
      <c r="G476" t="inlineStr">
        <is>
          <t>ALVESTA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46237</v>
      </c>
      <c r="F477" t="inlineStr">
        <is>
          <t>KRONOBERGS LÄN</t>
        </is>
      </c>
      <c r="G477" t="inlineStr">
        <is>
          <t>ALVESTA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61902-2024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45653</v>
      </c>
      <c r="E478" s="1" t="n">
        <v>46237</v>
      </c>
      <c r="F478" t="inlineStr">
        <is>
          <t>KRONOBERGS LÄN</t>
        </is>
      </c>
      <c r="G478" t="inlineStr">
        <is>
          <t>ALVESTA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46237</v>
      </c>
      <c r="F479" t="inlineStr">
        <is>
          <t>KRONOBERGS LÄN</t>
        </is>
      </c>
      <c r="G479" t="inlineStr">
        <is>
          <t>ALVESTA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46237</v>
      </c>
      <c r="F480" t="inlineStr">
        <is>
          <t>KRONOBERGS LÄN</t>
        </is>
      </c>
      <c r="G480" t="inlineStr">
        <is>
          <t>ALVESTA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46237</v>
      </c>
      <c r="F481" t="inlineStr">
        <is>
          <t>KRONOBERGS LÄN</t>
        </is>
      </c>
      <c r="G481" t="inlineStr">
        <is>
          <t>ALVESTA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45155</v>
      </c>
      <c r="E482" s="1" t="n">
        <v>46237</v>
      </c>
      <c r="F482" t="inlineStr">
        <is>
          <t>KRONOBERGS LÄN</t>
        </is>
      </c>
      <c r="G482" t="inlineStr">
        <is>
          <t>ALVESTA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46237</v>
      </c>
      <c r="F483" t="inlineStr">
        <is>
          <t>KRONOBERGS LÄN</t>
        </is>
      </c>
      <c r="G483" t="inlineStr">
        <is>
          <t>ALVESTA</t>
        </is>
      </c>
      <c r="H483" t="inlineStr">
        <is>
          <t>Övriga Aktiebolag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15532-2026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46237</v>
      </c>
      <c r="F484" t="inlineStr">
        <is>
          <t>KRONOBERGS LÄN</t>
        </is>
      </c>
      <c r="G484" t="inlineStr">
        <is>
          <t>ALVESTA</t>
        </is>
      </c>
      <c r="H484" t="inlineStr">
        <is>
          <t>Övriga Aktiebolag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45043</v>
      </c>
      <c r="E485" s="1" t="n">
        <v>46237</v>
      </c>
      <c r="F485" t="inlineStr">
        <is>
          <t>KRONOBERGS LÄN</t>
        </is>
      </c>
      <c r="G485" t="inlineStr">
        <is>
          <t>ALVESTA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14865-2024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45398</v>
      </c>
      <c r="E486" s="1" t="n">
        <v>46237</v>
      </c>
      <c r="F486" t="inlineStr">
        <is>
          <t>KRONOBERGS LÄN</t>
        </is>
      </c>
      <c r="G486" t="inlineStr">
        <is>
          <t>ALVESTA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27710-2022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44743</v>
      </c>
      <c r="E487" s="1" t="n">
        <v>46237</v>
      </c>
      <c r="F487" t="inlineStr">
        <is>
          <t>KRONOBERGS LÄN</t>
        </is>
      </c>
      <c r="G487" t="inlineStr">
        <is>
          <t>ALVESTA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44743</v>
      </c>
      <c r="E488" s="1" t="n">
        <v>46237</v>
      </c>
      <c r="F488" t="inlineStr">
        <is>
          <t>KRONOBERGS LÄN</t>
        </is>
      </c>
      <c r="G488" t="inlineStr">
        <is>
          <t>ALVESTA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45153</v>
      </c>
      <c r="E489" s="1" t="n">
        <v>46237</v>
      </c>
      <c r="F489" t="inlineStr">
        <is>
          <t>KRONOBERGS LÄN</t>
        </is>
      </c>
      <c r="G489" t="inlineStr">
        <is>
          <t>ALVESTA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46237</v>
      </c>
      <c r="F490" t="inlineStr">
        <is>
          <t>KRONOBERGS LÄN</t>
        </is>
      </c>
      <c r="G490" t="inlineStr">
        <is>
          <t>ALVESTA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46237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45418</v>
      </c>
      <c r="E492" s="1" t="n">
        <v>46237</v>
      </c>
      <c r="F492" t="inlineStr">
        <is>
          <t>KRONOBERGS LÄN</t>
        </is>
      </c>
      <c r="G492" t="inlineStr">
        <is>
          <t>ALVESTA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45551</v>
      </c>
      <c r="E493" s="1" t="n">
        <v>46237</v>
      </c>
      <c r="F493" t="inlineStr">
        <is>
          <t>KRONOBERGS LÄN</t>
        </is>
      </c>
      <c r="G493" t="inlineStr">
        <is>
          <t>ALVESTA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31121-2023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46237</v>
      </c>
      <c r="F494" t="inlineStr">
        <is>
          <t>KRONOBERGS LÄN</t>
        </is>
      </c>
      <c r="G494" t="inlineStr">
        <is>
          <t>ALVESTA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12917-2024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45385</v>
      </c>
      <c r="E495" s="1" t="n">
        <v>46237</v>
      </c>
      <c r="F495" t="inlineStr">
        <is>
          <t>KRONOBERGS LÄN</t>
        </is>
      </c>
      <c r="G495" t="inlineStr">
        <is>
          <t>ALVESTA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54015-2023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45231</v>
      </c>
      <c r="E496" s="1" t="n">
        <v>46237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46237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17823-2026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46122</v>
      </c>
      <c r="E498" s="1" t="n">
        <v>46237</v>
      </c>
      <c r="F498" t="inlineStr">
        <is>
          <t>KRONOBERGS LÄN</t>
        </is>
      </c>
      <c r="G498" t="inlineStr">
        <is>
          <t>ALVESTA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65094-2023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45288</v>
      </c>
      <c r="E499" s="1" t="n">
        <v>46237</v>
      </c>
      <c r="F499" t="inlineStr">
        <is>
          <t>KRONOBERGS LÄN</t>
        </is>
      </c>
      <c r="G499" t="inlineStr">
        <is>
          <t>ALVESTA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17946-2026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46237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46237</v>
      </c>
      <c r="F501" t="inlineStr">
        <is>
          <t>KRONOBERGS LÄN</t>
        </is>
      </c>
      <c r="G501" t="inlineStr">
        <is>
          <t>ALVESTA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17801-2026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46122</v>
      </c>
      <c r="E502" s="1" t="n">
        <v>46237</v>
      </c>
      <c r="F502" t="inlineStr">
        <is>
          <t>KRONOBERGS LÄN</t>
        </is>
      </c>
      <c r="G502" t="inlineStr">
        <is>
          <t>ALVESTA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46122</v>
      </c>
      <c r="E503" s="1" t="n">
        <v>46237</v>
      </c>
      <c r="F503" t="inlineStr">
        <is>
          <t>KRONOBERGS LÄN</t>
        </is>
      </c>
      <c r="G503" t="inlineStr">
        <is>
          <t>ALVESTA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46237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45149</v>
      </c>
      <c r="E505" s="1" t="n">
        <v>46237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54116-2024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45616</v>
      </c>
      <c r="E506" s="1" t="n">
        <v>46237</v>
      </c>
      <c r="F506" t="inlineStr">
        <is>
          <t>KRONOBERGS LÄN</t>
        </is>
      </c>
      <c r="G506" t="inlineStr">
        <is>
          <t>ALVESTA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46237</v>
      </c>
      <c r="F507" t="inlineStr">
        <is>
          <t>KRONOBERGS LÄN</t>
        </is>
      </c>
      <c r="G507" t="inlineStr">
        <is>
          <t>ALVESTA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46237</v>
      </c>
      <c r="F508" t="inlineStr">
        <is>
          <t>KRONOBERGS LÄN</t>
        </is>
      </c>
      <c r="G508" t="inlineStr">
        <is>
          <t>ALVESTA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45359</v>
      </c>
      <c r="E509" s="1" t="n">
        <v>46237</v>
      </c>
      <c r="F509" t="inlineStr">
        <is>
          <t>KRONOBERGS LÄN</t>
        </is>
      </c>
      <c r="G509" t="inlineStr">
        <is>
          <t>ALVESTA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46129</v>
      </c>
      <c r="E510" s="1" t="n">
        <v>46237</v>
      </c>
      <c r="F510" t="inlineStr">
        <is>
          <t>KRONOBERGS LÄN</t>
        </is>
      </c>
      <c r="G510" t="inlineStr">
        <is>
          <t>ALVESTA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46237</v>
      </c>
      <c r="F511" t="inlineStr">
        <is>
          <t>KRONOBERGS LÄN</t>
        </is>
      </c>
      <c r="G511" t="inlineStr">
        <is>
          <t>ALVESTA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45135</v>
      </c>
      <c r="E512" s="1" t="n">
        <v>46237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46237</v>
      </c>
      <c r="F513" t="inlineStr">
        <is>
          <t>KRONOBERGS LÄN</t>
        </is>
      </c>
      <c r="G513" t="inlineStr">
        <is>
          <t>ALVESTA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46237</v>
      </c>
      <c r="F514" t="inlineStr">
        <is>
          <t>KRONOBERGS LÄN</t>
        </is>
      </c>
      <c r="G514" t="inlineStr">
        <is>
          <t>ALVESTA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46132</v>
      </c>
      <c r="E515" s="1" t="n">
        <v>46237</v>
      </c>
      <c r="F515" t="inlineStr">
        <is>
          <t>KRONOBERGS LÄN</t>
        </is>
      </c>
      <c r="G515" t="inlineStr">
        <is>
          <t>ALVESTA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50629-2023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45217</v>
      </c>
      <c r="E516" s="1" t="n">
        <v>46237</v>
      </c>
      <c r="F516" t="inlineStr">
        <is>
          <t>KRONOBERGS LÄN</t>
        </is>
      </c>
      <c r="G516" t="inlineStr">
        <is>
          <t>ALVESTA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45407</v>
      </c>
      <c r="E517" s="1" t="n">
        <v>46237</v>
      </c>
      <c r="F517" t="inlineStr">
        <is>
          <t>KRONOBERGS LÄN</t>
        </is>
      </c>
      <c r="G517" t="inlineStr">
        <is>
          <t>ALVESTA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45336</v>
      </c>
      <c r="E518" s="1" t="n">
        <v>46237</v>
      </c>
      <c r="F518" t="inlineStr">
        <is>
          <t>KRONOBERGS LÄN</t>
        </is>
      </c>
      <c r="G518" t="inlineStr">
        <is>
          <t>ALVESTA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45471</v>
      </c>
      <c r="E519" s="1" t="n">
        <v>46237</v>
      </c>
      <c r="F519" t="inlineStr">
        <is>
          <t>KRONOBERGS LÄN</t>
        </is>
      </c>
      <c r="G519" t="inlineStr">
        <is>
          <t>ALVESTA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45300</v>
      </c>
      <c r="E520" s="1" t="n">
        <v>46237</v>
      </c>
      <c r="F520" t="inlineStr">
        <is>
          <t>KRONOBERGS LÄN</t>
        </is>
      </c>
      <c r="G520" t="inlineStr">
        <is>
          <t>ALVESTA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45349</v>
      </c>
      <c r="E521" s="1" t="n">
        <v>46237</v>
      </c>
      <c r="F521" t="inlineStr">
        <is>
          <t>KRONOBERGS LÄN</t>
        </is>
      </c>
      <c r="G521" t="inlineStr">
        <is>
          <t>ALVESTA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45362</v>
      </c>
      <c r="E522" s="1" t="n">
        <v>46237</v>
      </c>
      <c r="F522" t="inlineStr">
        <is>
          <t>KRONOBERGS LÄN</t>
        </is>
      </c>
      <c r="G522" t="inlineStr">
        <is>
          <t>ALVESTA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36911-2025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45874</v>
      </c>
      <c r="E523" s="1" t="n">
        <v>46237</v>
      </c>
      <c r="F523" t="inlineStr">
        <is>
          <t>KRONOBERGS LÄN</t>
        </is>
      </c>
      <c r="G523" t="inlineStr">
        <is>
          <t>ALVESTA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45856</v>
      </c>
      <c r="E524" s="1" t="n">
        <v>46237</v>
      </c>
      <c r="F524" t="inlineStr">
        <is>
          <t>KRONOBERGS LÄN</t>
        </is>
      </c>
      <c r="G524" t="inlineStr">
        <is>
          <t>ALVESTA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45884</v>
      </c>
      <c r="E525" s="1" t="n">
        <v>46237</v>
      </c>
      <c r="F525" t="inlineStr">
        <is>
          <t>KRONOBERGS LÄN</t>
        </is>
      </c>
      <c r="G525" t="inlineStr">
        <is>
          <t>ALVESTA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45330</v>
      </c>
      <c r="E526" s="1" t="n">
        <v>46237</v>
      </c>
      <c r="F526" t="inlineStr">
        <is>
          <t>KRONOBERGS LÄN</t>
        </is>
      </c>
      <c r="G526" t="inlineStr">
        <is>
          <t>ALVESTA</t>
        </is>
      </c>
      <c r="H526" t="inlineStr">
        <is>
          <t>Övriga Aktiebolag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44670</v>
      </c>
      <c r="E527" s="1" t="n">
        <v>46237</v>
      </c>
      <c r="F527" t="inlineStr">
        <is>
          <t>KRONOBERGS LÄN</t>
        </is>
      </c>
      <c r="G527" t="inlineStr">
        <is>
          <t>ALVESTA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20101-2026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46237</v>
      </c>
      <c r="F528" t="inlineStr">
        <is>
          <t>KRONOBERGS LÄN</t>
        </is>
      </c>
      <c r="G528" t="inlineStr">
        <is>
          <t>ALVESTA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45418</v>
      </c>
      <c r="E529" s="1" t="n">
        <v>46237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46237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28225-2025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46237</v>
      </c>
      <c r="F531" t="inlineStr">
        <is>
          <t>KRONOBERGS LÄN</t>
        </is>
      </c>
      <c r="G531" t="inlineStr">
        <is>
          <t>ALVESTA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46237</v>
      </c>
      <c r="F532" t="inlineStr">
        <is>
          <t>KRONOBERGS LÄN</t>
        </is>
      </c>
      <c r="G532" t="inlineStr">
        <is>
          <t>ALVESTA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45666</v>
      </c>
      <c r="E533" s="1" t="n">
        <v>46237</v>
      </c>
      <c r="F533" t="inlineStr">
        <is>
          <t>KRONOBERGS LÄN</t>
        </is>
      </c>
      <c r="G533" t="inlineStr">
        <is>
          <t>ALVESTA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46237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45909</v>
      </c>
      <c r="E535" s="1" t="n">
        <v>46237</v>
      </c>
      <c r="F535" t="inlineStr">
        <is>
          <t>KRONOBERGS LÄN</t>
        </is>
      </c>
      <c r="G535" t="inlineStr">
        <is>
          <t>ALVESTA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25261-2024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45462</v>
      </c>
      <c r="E536" s="1" t="n">
        <v>46237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50852-2025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45946</v>
      </c>
      <c r="E537" s="1" t="n">
        <v>46237</v>
      </c>
      <c r="F537" t="inlineStr">
        <is>
          <t>KRONOBERGS LÄN</t>
        </is>
      </c>
      <c r="G537" t="inlineStr">
        <is>
          <t>ALVESTA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12952-2024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45385</v>
      </c>
      <c r="E538" s="1" t="n">
        <v>46237</v>
      </c>
      <c r="F538" t="inlineStr">
        <is>
          <t>KRONOBERGS LÄN</t>
        </is>
      </c>
      <c r="G538" t="inlineStr">
        <is>
          <t>ALVESTA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61285-2023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46237</v>
      </c>
      <c r="F539" t="inlineStr">
        <is>
          <t>KRONOBERGS LÄN</t>
        </is>
      </c>
      <c r="G539" t="inlineStr">
        <is>
          <t>ALVESTA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44951</v>
      </c>
      <c r="E540" s="1" t="n">
        <v>46237</v>
      </c>
      <c r="F540" t="inlineStr">
        <is>
          <t>KRONOBERGS LÄN</t>
        </is>
      </c>
      <c r="G540" t="inlineStr">
        <is>
          <t>ALVESTA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62969-2023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45272</v>
      </c>
      <c r="E541" s="1" t="n">
        <v>46237</v>
      </c>
      <c r="F541" t="inlineStr">
        <is>
          <t>KRONOBERGS LÄN</t>
        </is>
      </c>
      <c r="G541" t="inlineStr">
        <is>
          <t>ALVESTA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45166</v>
      </c>
      <c r="E542" s="1" t="n">
        <v>46237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21296-2024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45440</v>
      </c>
      <c r="E543" s="1" t="n">
        <v>46237</v>
      </c>
      <c r="F543" t="inlineStr">
        <is>
          <t>KRONOBERGS LÄN</t>
        </is>
      </c>
      <c r="G543" t="inlineStr">
        <is>
          <t>ALVESTA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23006-2025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46237</v>
      </c>
      <c r="F544" t="inlineStr">
        <is>
          <t>KRONOBERGS LÄN</t>
        </is>
      </c>
      <c r="G544" t="inlineStr">
        <is>
          <t>ALVESTA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45740</v>
      </c>
      <c r="E545" s="1" t="n">
        <v>46237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45136</v>
      </c>
      <c r="E546" s="1" t="n">
        <v>46237</v>
      </c>
      <c r="F546" t="inlineStr">
        <is>
          <t>KRONOBERGS LÄN</t>
        </is>
      </c>
      <c r="G546" t="inlineStr">
        <is>
          <t>ALVESTA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46237</v>
      </c>
      <c r="F547" t="inlineStr">
        <is>
          <t>KRONOBERGS LÄN</t>
        </is>
      </c>
      <c r="G547" t="inlineStr">
        <is>
          <t>ALVESTA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52061-2023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45216</v>
      </c>
      <c r="E548" s="1" t="n">
        <v>46237</v>
      </c>
      <c r="F548" t="inlineStr">
        <is>
          <t>KRONOBERGS LÄN</t>
        </is>
      </c>
      <c r="G548" t="inlineStr">
        <is>
          <t>ALVESTA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40304-2021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44419</v>
      </c>
      <c r="E549" s="1" t="n">
        <v>46237</v>
      </c>
      <c r="F549" t="inlineStr">
        <is>
          <t>KRONOBERGS LÄN</t>
        </is>
      </c>
      <c r="G549" t="inlineStr">
        <is>
          <t>ALVESTA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57121-2022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44895</v>
      </c>
      <c r="E550" s="1" t="n">
        <v>46237</v>
      </c>
      <c r="F550" t="inlineStr">
        <is>
          <t>KRONOBERGS LÄN</t>
        </is>
      </c>
      <c r="G550" t="inlineStr">
        <is>
          <t>ALVESTA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49407-2024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46237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6367-2024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46237</v>
      </c>
      <c r="F552" t="inlineStr">
        <is>
          <t>KRONOBERGS LÄN</t>
        </is>
      </c>
      <c r="G552" t="inlineStr">
        <is>
          <t>ALVESTA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45705</v>
      </c>
      <c r="E553" s="1" t="n">
        <v>46237</v>
      </c>
      <c r="F553" t="inlineStr">
        <is>
          <t>KRONOBERGS LÄN</t>
        </is>
      </c>
      <c r="G553" t="inlineStr">
        <is>
          <t>ALVESTA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44970</v>
      </c>
      <c r="E554" s="1" t="n">
        <v>46237</v>
      </c>
      <c r="F554" t="inlineStr">
        <is>
          <t>KRONOBERGS LÄN</t>
        </is>
      </c>
      <c r="G554" t="inlineStr">
        <is>
          <t>ALVESTA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46237</v>
      </c>
      <c r="F555" t="inlineStr">
        <is>
          <t>KRONOBERGS LÄN</t>
        </is>
      </c>
      <c r="G555" t="inlineStr">
        <is>
          <t>ALVESTA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42411-2023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45180</v>
      </c>
      <c r="E556" s="1" t="n">
        <v>46237</v>
      </c>
      <c r="F556" t="inlineStr">
        <is>
          <t>KRONOBERGS LÄN</t>
        </is>
      </c>
      <c r="G556" t="inlineStr">
        <is>
          <t>ALVESTA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45302</v>
      </c>
      <c r="E557" s="1" t="n">
        <v>46237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9987-2023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44985</v>
      </c>
      <c r="E558" s="1" t="n">
        <v>46237</v>
      </c>
      <c r="F558" t="inlineStr">
        <is>
          <t>KRONOBERGS LÄN</t>
        </is>
      </c>
      <c r="G558" t="inlineStr">
        <is>
          <t>ALVESTA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46237</v>
      </c>
      <c r="F559" t="inlineStr">
        <is>
          <t>KRONOBERGS LÄN</t>
        </is>
      </c>
      <c r="G559" t="inlineStr">
        <is>
          <t>ALVESTA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45532</v>
      </c>
      <c r="E560" s="1" t="n">
        <v>46237</v>
      </c>
      <c r="F560" t="inlineStr">
        <is>
          <t>KRONOBERGS LÄN</t>
        </is>
      </c>
      <c r="G560" t="inlineStr">
        <is>
          <t>ALVESTA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25220-2025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45798</v>
      </c>
      <c r="E561" s="1" t="n">
        <v>46237</v>
      </c>
      <c r="F561" t="inlineStr">
        <is>
          <t>KRONOBERGS LÄN</t>
        </is>
      </c>
      <c r="G561" t="inlineStr">
        <is>
          <t>ALVESTA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45324</v>
      </c>
      <c r="E562" s="1" t="n">
        <v>46237</v>
      </c>
      <c r="F562" t="inlineStr">
        <is>
          <t>KRONOBERGS LÄN</t>
        </is>
      </c>
      <c r="G562" t="inlineStr">
        <is>
          <t>ALVESTA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44635</v>
      </c>
      <c r="E563" s="1" t="n">
        <v>46237</v>
      </c>
      <c r="F563" t="inlineStr">
        <is>
          <t>KRONOBERGS LÄN</t>
        </is>
      </c>
      <c r="G563" t="inlineStr">
        <is>
          <t>ALVESTA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15063-2023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45015</v>
      </c>
      <c r="E564" s="1" t="n">
        <v>46237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17737-2024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45418</v>
      </c>
      <c r="E565" s="1" t="n">
        <v>46237</v>
      </c>
      <c r="F565" t="inlineStr">
        <is>
          <t>KRONOBERGS LÄN</t>
        </is>
      </c>
      <c r="G565" t="inlineStr">
        <is>
          <t>ALVESTA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45391</v>
      </c>
      <c r="E566" s="1" t="n">
        <v>46237</v>
      </c>
      <c r="F566" t="inlineStr">
        <is>
          <t>KRONOBERGS LÄN</t>
        </is>
      </c>
      <c r="G566" t="inlineStr">
        <is>
          <t>ALVESTA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59052-2021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44490</v>
      </c>
      <c r="E567" s="1" t="n">
        <v>46237</v>
      </c>
      <c r="F567" t="inlineStr">
        <is>
          <t>KRONOBERGS LÄN</t>
        </is>
      </c>
      <c r="G567" t="inlineStr">
        <is>
          <t>ALVESTA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33222-2024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45518</v>
      </c>
      <c r="E568" s="1" t="n">
        <v>46237</v>
      </c>
      <c r="F568" t="inlineStr">
        <is>
          <t>KRONOBERGS LÄN</t>
        </is>
      </c>
      <c r="G568" t="inlineStr">
        <is>
          <t>ALVESTA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46237</v>
      </c>
      <c r="F569" t="inlineStr">
        <is>
          <t>KRONOBERGS LÄN</t>
        </is>
      </c>
      <c r="G569" t="inlineStr">
        <is>
          <t>ALVESTA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46237</v>
      </c>
      <c r="F570" t="inlineStr">
        <is>
          <t>KRONOBERGS LÄN</t>
        </is>
      </c>
      <c r="G570" t="inlineStr">
        <is>
          <t>ALVESTA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46237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6489-2022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44601</v>
      </c>
      <c r="E572" s="1" t="n">
        <v>46237</v>
      </c>
      <c r="F572" t="inlineStr">
        <is>
          <t>KRONOBERGS LÄN</t>
        </is>
      </c>
      <c r="G572" t="inlineStr">
        <is>
          <t>ALVESTA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45782</v>
      </c>
      <c r="E573" s="1" t="n">
        <v>46237</v>
      </c>
      <c r="F573" t="inlineStr">
        <is>
          <t>KRONOBERGS LÄN</t>
        </is>
      </c>
      <c r="G573" t="inlineStr">
        <is>
          <t>ALVESTA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38765-2022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44816</v>
      </c>
      <c r="E574" s="1" t="n">
        <v>46237</v>
      </c>
      <c r="F574" t="inlineStr">
        <is>
          <t>KRONOBERGS LÄN</t>
        </is>
      </c>
      <c r="G574" t="inlineStr">
        <is>
          <t>ALVESTA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45476</v>
      </c>
      <c r="E575" s="1" t="n">
        <v>46237</v>
      </c>
      <c r="F575" t="inlineStr">
        <is>
          <t>KRONOBERGS LÄN</t>
        </is>
      </c>
      <c r="G575" t="inlineStr">
        <is>
          <t>ALVESTA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46237</v>
      </c>
      <c r="F576" t="inlineStr">
        <is>
          <t>KRONOBERGS LÄN</t>
        </is>
      </c>
      <c r="G576" t="inlineStr">
        <is>
          <t>ALVESTA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46237</v>
      </c>
      <c r="F577" t="inlineStr">
        <is>
          <t>KRONOBERGS LÄN</t>
        </is>
      </c>
      <c r="G577" t="inlineStr">
        <is>
          <t>ALVESTA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46237</v>
      </c>
      <c r="F578" t="inlineStr">
        <is>
          <t>KRONOBERGS LÄN</t>
        </is>
      </c>
      <c r="G578" t="inlineStr">
        <is>
          <t>ALVESTA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46237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46237</v>
      </c>
      <c r="F580" t="inlineStr">
        <is>
          <t>KRONOBERGS LÄN</t>
        </is>
      </c>
      <c r="G580" t="inlineStr">
        <is>
          <t>ALVESTA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29313-2025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45824</v>
      </c>
      <c r="E581" s="1" t="n">
        <v>46237</v>
      </c>
      <c r="F581" t="inlineStr">
        <is>
          <t>KRONOBERGS LÄN</t>
        </is>
      </c>
      <c r="G581" t="inlineStr">
        <is>
          <t>ALVESTA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29163-2025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45821</v>
      </c>
      <c r="E582" s="1" t="n">
        <v>46237</v>
      </c>
      <c r="F582" t="inlineStr">
        <is>
          <t>KRONOBERGS LÄN</t>
        </is>
      </c>
      <c r="G582" t="inlineStr">
        <is>
          <t>ALVESTA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46237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30222-2025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46237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45831</v>
      </c>
      <c r="E585" s="1" t="n">
        <v>46237</v>
      </c>
      <c r="F585" t="inlineStr">
        <is>
          <t>KRONOBERGS LÄN</t>
        </is>
      </c>
      <c r="G585" t="inlineStr">
        <is>
          <t>ALVESTA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45769</v>
      </c>
      <c r="E586" s="1" t="n">
        <v>46237</v>
      </c>
      <c r="F586" t="inlineStr">
        <is>
          <t>KRONOBERGS LÄN</t>
        </is>
      </c>
      <c r="G586" t="inlineStr">
        <is>
          <t>ALVESTA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31754-2025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45834</v>
      </c>
      <c r="E587" s="1" t="n">
        <v>46237</v>
      </c>
      <c r="F587" t="inlineStr">
        <is>
          <t>KRONOBERGS LÄN</t>
        </is>
      </c>
      <c r="G587" t="inlineStr">
        <is>
          <t>ALVESTA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46237</v>
      </c>
      <c r="F588" t="inlineStr">
        <is>
          <t>KRONOBERGS LÄN</t>
        </is>
      </c>
      <c r="G588" t="inlineStr">
        <is>
          <t>ALVESTA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31431-2025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46237</v>
      </c>
      <c r="F589" t="inlineStr">
        <is>
          <t>KRONOBERGS LÄN</t>
        </is>
      </c>
      <c r="G589" t="inlineStr">
        <is>
          <t>ALVESTA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46237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46237</v>
      </c>
      <c r="F591" t="inlineStr">
        <is>
          <t>KRONOBERGS LÄN</t>
        </is>
      </c>
      <c r="G591" t="inlineStr">
        <is>
          <t>ALVESTA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46237</v>
      </c>
      <c r="F592" t="inlineStr">
        <is>
          <t>KRONOBERGS LÄN</t>
        </is>
      </c>
      <c r="G592" t="inlineStr">
        <is>
          <t>ALVESTA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46237</v>
      </c>
      <c r="F593" t="inlineStr">
        <is>
          <t>KRONOBERGS LÄN</t>
        </is>
      </c>
      <c r="G593" t="inlineStr">
        <is>
          <t>ALVESTA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33617-2025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45841</v>
      </c>
      <c r="E594" s="1" t="n">
        <v>46237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45847</v>
      </c>
      <c r="E595" s="1" t="n">
        <v>46237</v>
      </c>
      <c r="F595" t="inlineStr">
        <is>
          <t>KRONOBERGS LÄN</t>
        </is>
      </c>
      <c r="G595" t="inlineStr">
        <is>
          <t>ALVESTA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45852</v>
      </c>
      <c r="E596" s="1" t="n">
        <v>46237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60202-2021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44495</v>
      </c>
      <c r="E597" s="1" t="n">
        <v>46237</v>
      </c>
      <c r="F597" t="inlineStr">
        <is>
          <t>KRONOBERGS LÄN</t>
        </is>
      </c>
      <c r="G597" t="inlineStr">
        <is>
          <t>ALVESTA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45547</v>
      </c>
      <c r="E598" s="1" t="n">
        <v>46237</v>
      </c>
      <c r="F598" t="inlineStr">
        <is>
          <t>KRONOBERGS LÄN</t>
        </is>
      </c>
      <c r="G598" t="inlineStr">
        <is>
          <t>ALVESTA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45628</v>
      </c>
      <c r="E599" s="1" t="n">
        <v>46237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48692-2024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45593</v>
      </c>
      <c r="E600" s="1" t="n">
        <v>46237</v>
      </c>
      <c r="F600" t="inlineStr">
        <is>
          <t>KRONOBERGS LÄN</t>
        </is>
      </c>
      <c r="G600" t="inlineStr">
        <is>
          <t>ALVESTA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36345-2025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45868</v>
      </c>
      <c r="E601" s="1" t="n">
        <v>46237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45467</v>
      </c>
      <c r="E602" s="1" t="n">
        <v>46237</v>
      </c>
      <c r="F602" t="inlineStr">
        <is>
          <t>KRONOBERGS LÄN</t>
        </is>
      </c>
      <c r="G602" t="inlineStr">
        <is>
          <t>ALVESTA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45874</v>
      </c>
      <c r="E603" s="1" t="n">
        <v>46237</v>
      </c>
      <c r="F603" t="inlineStr">
        <is>
          <t>KRONOBERGS LÄN</t>
        </is>
      </c>
      <c r="G603" t="inlineStr">
        <is>
          <t>ALVESTA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37091-2025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45875</v>
      </c>
      <c r="E604" s="1" t="n">
        <v>46237</v>
      </c>
      <c r="F604" t="inlineStr">
        <is>
          <t>KRONOBERGS LÄN</t>
        </is>
      </c>
      <c r="G604" t="inlineStr">
        <is>
          <t>ALVESTA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46237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46237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46237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46237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46237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46237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46237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46237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46237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46237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46237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46237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46237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46237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46237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46237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46237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46237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46237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46237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46237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46237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46237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46237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46237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46237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46237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46237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2026-08-03T01:52:38Z</dcterms:created>
  <dcterms:modified xmlns:dcterms="http://purl.org/dc/terms/" xmlns:xsi="http://www.w3.org/2001/XMLSchema-instance" xsi:type="dcterms:W3CDTF">2026-08-03T01:52:38Z</dcterms:modified>
</cp:coreProperties>
</file>