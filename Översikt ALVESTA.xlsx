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46313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46313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46313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46313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46313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46313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46313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46313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46313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46313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46313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46313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46313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46313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46313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46313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46313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Blomkålssvamp
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35257-2026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46313</v>
      </c>
      <c r="F32" t="inlineStr">
        <is>
          <t>KRONOBERGS LÄN</t>
        </is>
      </c>
      <c r="G32" t="inlineStr">
        <is>
          <t>ALVESTA</t>
        </is>
      </c>
      <c r="I32" t="n">
        <v>3.5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Sotvaxskivling
Västlig hakmossa</t>
        </is>
      </c>
      <c r="W32">
        <f>HYPERLINK("https://klasma.github.io/Logging_0764/artfynd/A 35257-2026 artfynd.xlsx", "A 35257-2026")</f>
        <v/>
      </c>
      <c r="X32">
        <f>HYPERLINK("https://klasma.github.io/Logging_0764/kartor/A 35257-2026 karta.png", "A 35257-2026")</f>
        <v/>
      </c>
      <c r="Y32">
        <f>HYPERLINK("https://klasma.github.io/Logging_0764/kartor_geotiff/A 35257-2026 georefererad karta.tif", "A 35257-2026")</f>
        <v/>
      </c>
      <c r="AA32">
        <f>HYPERLINK("https://klasma.github.io/Logging_0764/klagomål/A 35257-2026 FSC-klagomål.docx", "A 35257-2026")</f>
        <v/>
      </c>
      <c r="AB32">
        <f>HYPERLINK("https://klasma.github.io/Logging_0764/klagomålsmail/A 35257-2026 FSC-klagomål mail.docx", "A 35257-2026")</f>
        <v/>
      </c>
      <c r="AC32">
        <f>HYPERLINK("https://klasma.github.io/Logging_0764/tillsyn/A 35257-2026 tillsynsbegäran.docx", "A 35257-2026")</f>
        <v/>
      </c>
      <c r="AD32">
        <f>HYPERLINK("https://klasma.github.io/Logging_0764/tillsynsmail/A 35257-2026 tillsynsbegäran mail.docx", "A 35257-2026")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46313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46313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46313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46313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46313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11669-2024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46313</v>
      </c>
      <c r="F38" t="inlineStr">
        <is>
          <t>KRONOBERGS LÄN</t>
        </is>
      </c>
      <c r="G38" t="inlineStr">
        <is>
          <t>ALVESTA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Skuggmossa</t>
        </is>
      </c>
      <c r="W38">
        <f>HYPERLINK("https://klasma.github.io/Logging_0764/artfynd/A 11669-2024 artfynd.xlsx", "A 11669-2024")</f>
        <v/>
      </c>
      <c r="X38">
        <f>HYPERLINK("https://klasma.github.io/Logging_0764/kartor/A 11669-2024 karta.png", "A 11669-2024")</f>
        <v/>
      </c>
      <c r="Y38">
        <f>HYPERLINK("https://klasma.github.io/Logging_0764/kartor_geotiff/A 11669-2024 georefererad karta.tif", "A 11669-2024")</f>
        <v/>
      </c>
      <c r="AA38">
        <f>HYPERLINK("https://klasma.github.io/Logging_0764/klagomål/A 11669-2024 FSC-klagomål.docx", "A 11669-2024")</f>
        <v/>
      </c>
      <c r="AB38">
        <f>HYPERLINK("https://klasma.github.io/Logging_0764/klagomålsmail/A 11669-2024 FSC-klagomål mail.docx", "A 11669-2024")</f>
        <v/>
      </c>
      <c r="AC38">
        <f>HYPERLINK("https://klasma.github.io/Logging_0764/tillsyn/A 11669-2024 tillsynsbegäran.docx", "A 11669-2024")</f>
        <v/>
      </c>
      <c r="AD38">
        <f>HYPERLINK("https://klasma.github.io/Logging_0764/tillsynsmail/A 11669-2024 tillsynsbegäran mail.docx", "A 11669-2024")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46313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46313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46313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46313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46313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46313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46313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46313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60729-2025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45996</v>
      </c>
      <c r="E47" s="1" t="n">
        <v>46313</v>
      </c>
      <c r="F47" t="inlineStr">
        <is>
          <t>KRONOBERGS LÄN</t>
        </is>
      </c>
      <c r="G47" t="inlineStr">
        <is>
          <t>ALVESTA</t>
        </is>
      </c>
      <c r="I47" t="n">
        <v>0.5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HYPERLINK("https://klasma.github.io/Logging_0764/artfynd/A 60729-2025 artfynd.xlsx", "A 60729-2025")</f>
        <v/>
      </c>
      <c r="X47">
        <f>HYPERLINK("https://klasma.github.io/Logging_0764/kartor/A 60729-2025 karta.png", "A 60729-2025")</f>
        <v/>
      </c>
      <c r="Y47">
        <f>HYPERLINK("https://klasma.github.io/Logging_0764/kartor_geotiff/A 60729-2025 georefererad karta.tif", "A 60729-2025")</f>
        <v/>
      </c>
      <c r="AA47">
        <f>HYPERLINK("https://klasma.github.io/Logging_0764/klagomål/A 60729-2025 FSC-klagomål.docx", "A 60729-2025")</f>
        <v/>
      </c>
      <c r="AB47">
        <f>HYPERLINK("https://klasma.github.io/Logging_0764/klagomålsmail/A 60729-2025 FSC-klagomål mail.docx", "A 60729-2025")</f>
        <v/>
      </c>
      <c r="AC47">
        <f>HYPERLINK("https://klasma.github.io/Logging_0764/tillsyn/A 60729-2025 tillsynsbegäran.docx", "A 60729-2025")</f>
        <v/>
      </c>
      <c r="AD47">
        <f>HYPERLINK("https://klasma.github.io/Logging_0764/tillsynsmail/A 60729-2025 tillsynsbegäran mail.docx", "A 60729-2025")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46313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46313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46313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46313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46313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46313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46313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46313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46313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46313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46313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46313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46313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46313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46313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46313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46313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46313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46313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46313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46313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46313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46313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46313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46313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46313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46313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46313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46313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46313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46313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46313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46313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46313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46313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46313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46313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46313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46313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46313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46313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46313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46313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46313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46313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46313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46313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46313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46313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46313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46313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46313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46313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46313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46313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45338</v>
      </c>
      <c r="E106" s="1" t="n">
        <v>46313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46313</v>
      </c>
      <c r="F107" t="inlineStr">
        <is>
          <t>KRONOBERGS LÄN</t>
        </is>
      </c>
      <c r="G107" t="inlineStr">
        <is>
          <t>ALVESTA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46313</v>
      </c>
      <c r="F108" t="inlineStr">
        <is>
          <t>KRONOBERGS LÄN</t>
        </is>
      </c>
      <c r="G108" t="inlineStr">
        <is>
          <t>ALVESTA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46313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46313</v>
      </c>
      <c r="F110" t="inlineStr">
        <is>
          <t>KRONOBERGS LÄN</t>
        </is>
      </c>
      <c r="G110" t="inlineStr">
        <is>
          <t>ALVESTA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46313</v>
      </c>
      <c r="F111" t="inlineStr">
        <is>
          <t>KRONOBERGS LÄN</t>
        </is>
      </c>
      <c r="G111" t="inlineStr">
        <is>
          <t>ALVESTA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46313</v>
      </c>
      <c r="F112" t="inlineStr">
        <is>
          <t>KRONOBERGS LÄN</t>
        </is>
      </c>
      <c r="G112" t="inlineStr">
        <is>
          <t>ALVESTA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44569</v>
      </c>
      <c r="E113" s="1" t="n">
        <v>46313</v>
      </c>
      <c r="F113" t="inlineStr">
        <is>
          <t>KRONOBERGS LÄN</t>
        </is>
      </c>
      <c r="G113" t="inlineStr">
        <is>
          <t>ALVESTA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46313</v>
      </c>
      <c r="F114" t="inlineStr">
        <is>
          <t>KRONOBERGS LÄN</t>
        </is>
      </c>
      <c r="G114" t="inlineStr">
        <is>
          <t>ALVESTA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46313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46313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46313</v>
      </c>
      <c r="F117" t="inlineStr">
        <is>
          <t>KRONOBERGS LÄN</t>
        </is>
      </c>
      <c r="G117" t="inlineStr">
        <is>
          <t>ALVESTA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46313</v>
      </c>
      <c r="F118" t="inlineStr">
        <is>
          <t>KRONOBERGS LÄN</t>
        </is>
      </c>
      <c r="G118" t="inlineStr">
        <is>
          <t>ALVESTA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46313</v>
      </c>
      <c r="F119" t="inlineStr">
        <is>
          <t>KRONOBERGS LÄN</t>
        </is>
      </c>
      <c r="G119" t="inlineStr">
        <is>
          <t>ALVESTA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46313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46313</v>
      </c>
      <c r="F121" t="inlineStr">
        <is>
          <t>KRONOBERGS LÄN</t>
        </is>
      </c>
      <c r="G121" t="inlineStr">
        <is>
          <t>ALVESTA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46313</v>
      </c>
      <c r="F122" t="inlineStr">
        <is>
          <t>KRONOBERGS LÄN</t>
        </is>
      </c>
      <c r="G122" t="inlineStr">
        <is>
          <t>ALVESTA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46313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46313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46313</v>
      </c>
      <c r="F125" t="inlineStr">
        <is>
          <t>KRONOBERGS LÄN</t>
        </is>
      </c>
      <c r="G125" t="inlineStr">
        <is>
          <t>ALVESTA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46313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46313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46313</v>
      </c>
      <c r="F128" t="inlineStr">
        <is>
          <t>KRONOBERGS LÄN</t>
        </is>
      </c>
      <c r="G128" t="inlineStr">
        <is>
          <t>ALVESTA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46313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46313</v>
      </c>
      <c r="F130" t="inlineStr">
        <is>
          <t>KRONOBERGS LÄN</t>
        </is>
      </c>
      <c r="G130" t="inlineStr">
        <is>
          <t>ALVESTA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46313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46313</v>
      </c>
      <c r="F132" t="inlineStr">
        <is>
          <t>KRONOBERGS LÄN</t>
        </is>
      </c>
      <c r="G132" t="inlineStr">
        <is>
          <t>ALVESTA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46313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46313</v>
      </c>
      <c r="F134" t="inlineStr">
        <is>
          <t>KRONOBERGS LÄN</t>
        </is>
      </c>
      <c r="G134" t="inlineStr">
        <is>
          <t>ALVESTA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46313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46313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60487-2023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46313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46313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46313</v>
      </c>
      <c r="F139" t="inlineStr">
        <is>
          <t>KRONOBERGS LÄN</t>
        </is>
      </c>
      <c r="G139" t="inlineStr">
        <is>
          <t>ALVESTA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46313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46313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46313</v>
      </c>
      <c r="F142" t="inlineStr">
        <is>
          <t>KRONOBERGS LÄN</t>
        </is>
      </c>
      <c r="G142" t="inlineStr">
        <is>
          <t>ALVESTA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46313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46313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46313</v>
      </c>
      <c r="F145" t="inlineStr">
        <is>
          <t>KRONOBERGS LÄN</t>
        </is>
      </c>
      <c r="G145" t="inlineStr">
        <is>
          <t>ALVESTA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46313</v>
      </c>
      <c r="F146" t="inlineStr">
        <is>
          <t>KRONOBERGS LÄN</t>
        </is>
      </c>
      <c r="G146" t="inlineStr">
        <is>
          <t>ALVESTA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44972</v>
      </c>
      <c r="E147" s="1" t="n">
        <v>46313</v>
      </c>
      <c r="F147" t="inlineStr">
        <is>
          <t>KRONOBERGS LÄN</t>
        </is>
      </c>
      <c r="G147" t="inlineStr">
        <is>
          <t>ALVESTA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46313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45574</v>
      </c>
      <c r="E149" s="1" t="n">
        <v>46313</v>
      </c>
      <c r="F149" t="inlineStr">
        <is>
          <t>KRONOBERGS LÄN</t>
        </is>
      </c>
      <c r="G149" t="inlineStr">
        <is>
          <t>ALVESTA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44504</v>
      </c>
      <c r="E150" s="1" t="n">
        <v>46313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46313</v>
      </c>
      <c r="F151" t="inlineStr">
        <is>
          <t>KRONOBERGS LÄN</t>
        </is>
      </c>
      <c r="G151" t="inlineStr">
        <is>
          <t>ALVESTA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46313</v>
      </c>
      <c r="F152" t="inlineStr">
        <is>
          <t>KRONOBERGS LÄN</t>
        </is>
      </c>
      <c r="G152" t="inlineStr">
        <is>
          <t>ALVESTA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46313</v>
      </c>
      <c r="F153" t="inlineStr">
        <is>
          <t>KRONOBERGS LÄN</t>
        </is>
      </c>
      <c r="G153" t="inlineStr">
        <is>
          <t>ALVESTA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46313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46313</v>
      </c>
      <c r="F155" t="inlineStr">
        <is>
          <t>KRONOBERGS LÄN</t>
        </is>
      </c>
      <c r="G155" t="inlineStr">
        <is>
          <t>ALVESTA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46313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46313</v>
      </c>
      <c r="F157" t="inlineStr">
        <is>
          <t>KRONOBERGS LÄN</t>
        </is>
      </c>
      <c r="G157" t="inlineStr">
        <is>
          <t>ALVESTA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46313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46313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46313</v>
      </c>
      <c r="F160" t="inlineStr">
        <is>
          <t>KRONOBERGS LÄN</t>
        </is>
      </c>
      <c r="G160" t="inlineStr">
        <is>
          <t>ALVESTA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46313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57118-2023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45245</v>
      </c>
      <c r="E162" s="1" t="n">
        <v>46313</v>
      </c>
      <c r="F162" t="inlineStr">
        <is>
          <t>KRONOBERGS LÄN</t>
        </is>
      </c>
      <c r="G162" t="inlineStr">
        <is>
          <t>ALVESTA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45345</v>
      </c>
      <c r="E163" s="1" t="n">
        <v>46313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46313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46313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46313</v>
      </c>
      <c r="F166" t="inlineStr">
        <is>
          <t>KRONOBERGS LÄN</t>
        </is>
      </c>
      <c r="G166" t="inlineStr">
        <is>
          <t>ALVESTA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45338</v>
      </c>
      <c r="E167" s="1" t="n">
        <v>46313</v>
      </c>
      <c r="F167" t="inlineStr">
        <is>
          <t>KRONOBERGS LÄN</t>
        </is>
      </c>
      <c r="G167" t="inlineStr">
        <is>
          <t>ALVESTA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46313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45462</v>
      </c>
      <c r="E169" s="1" t="n">
        <v>46313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46313</v>
      </c>
      <c r="F170" t="inlineStr">
        <is>
          <t>KRONOBERGS LÄN</t>
        </is>
      </c>
      <c r="G170" t="inlineStr">
        <is>
          <t>ALVESTA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46313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46313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44948</v>
      </c>
      <c r="E173" s="1" t="n">
        <v>46313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46313</v>
      </c>
      <c r="F174" t="inlineStr">
        <is>
          <t>KRONOBERGS LÄN</t>
        </is>
      </c>
      <c r="G174" t="inlineStr">
        <is>
          <t>ALVESTA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46313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46313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46313</v>
      </c>
      <c r="F177" t="inlineStr">
        <is>
          <t>KRONOBERGS LÄN</t>
        </is>
      </c>
      <c r="G177" t="inlineStr">
        <is>
          <t>ALVESTA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46313</v>
      </c>
      <c r="F178" t="inlineStr">
        <is>
          <t>KRONOBERGS LÄN</t>
        </is>
      </c>
      <c r="G178" t="inlineStr">
        <is>
          <t>ALVESTA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46313</v>
      </c>
      <c r="F179" t="inlineStr">
        <is>
          <t>KRONOBERGS LÄN</t>
        </is>
      </c>
      <c r="G179" t="inlineStr">
        <is>
          <t>ALVESTA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46313</v>
      </c>
      <c r="F180" t="inlineStr">
        <is>
          <t>KRONOBERGS LÄN</t>
        </is>
      </c>
      <c r="G180" t="inlineStr">
        <is>
          <t>ALVESTA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46313</v>
      </c>
      <c r="F181" t="inlineStr">
        <is>
          <t>KRONOBERGS LÄN</t>
        </is>
      </c>
      <c r="G181" t="inlineStr">
        <is>
          <t>ALVESTA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46313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46313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46313</v>
      </c>
      <c r="F184" t="inlineStr">
        <is>
          <t>KRONOBERGS LÄN</t>
        </is>
      </c>
      <c r="G184" t="inlineStr">
        <is>
          <t>ALVESTA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46313</v>
      </c>
      <c r="F185" t="inlineStr">
        <is>
          <t>KRONOBERGS LÄN</t>
        </is>
      </c>
      <c r="G185" t="inlineStr">
        <is>
          <t>ALVESTA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46313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46313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46313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45447</v>
      </c>
      <c r="E189" s="1" t="n">
        <v>46313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46313</v>
      </c>
      <c r="F190" t="inlineStr">
        <is>
          <t>KRONOBERGS LÄN</t>
        </is>
      </c>
      <c r="G190" t="inlineStr">
        <is>
          <t>ALVESTA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46313</v>
      </c>
      <c r="F191" t="inlineStr">
        <is>
          <t>KRONOBERGS LÄN</t>
        </is>
      </c>
      <c r="G191" t="inlineStr">
        <is>
          <t>ALVESTA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46313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46313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46313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45678</v>
      </c>
      <c r="E195" s="1" t="n">
        <v>46313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46313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46313</v>
      </c>
      <c r="F197" t="inlineStr">
        <is>
          <t>KRONOBERGS LÄN</t>
        </is>
      </c>
      <c r="G197" t="inlineStr">
        <is>
          <t>ALVESTA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45336</v>
      </c>
      <c r="E198" s="1" t="n">
        <v>46313</v>
      </c>
      <c r="F198" t="inlineStr">
        <is>
          <t>KRONOBERGS LÄN</t>
        </is>
      </c>
      <c r="G198" t="inlineStr">
        <is>
          <t>ALVESTA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60478-2023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45259</v>
      </c>
      <c r="E199" s="1" t="n">
        <v>46313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43959-2022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46313</v>
      </c>
      <c r="F200" t="inlineStr">
        <is>
          <t>KRONOBERGS LÄN</t>
        </is>
      </c>
      <c r="G200" t="inlineStr">
        <is>
          <t>ALVESTA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46313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45517</v>
      </c>
      <c r="E202" s="1" t="n">
        <v>46313</v>
      </c>
      <c r="F202" t="inlineStr">
        <is>
          <t>KRONOBERGS LÄN</t>
        </is>
      </c>
      <c r="G202" t="inlineStr">
        <is>
          <t>ALVESTA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46313</v>
      </c>
      <c r="F203" t="inlineStr">
        <is>
          <t>KRONOBERGS LÄN</t>
        </is>
      </c>
      <c r="G203" t="inlineStr">
        <is>
          <t>ALVESTA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46313</v>
      </c>
      <c r="F204" t="inlineStr">
        <is>
          <t>KRONOBERGS LÄN</t>
        </is>
      </c>
      <c r="G204" t="inlineStr">
        <is>
          <t>ALVESTA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46313</v>
      </c>
      <c r="F205" t="inlineStr">
        <is>
          <t>KRONOBERGS LÄN</t>
        </is>
      </c>
      <c r="G205" t="inlineStr">
        <is>
          <t>ALVESTA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46313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46313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46313</v>
      </c>
      <c r="F208" t="inlineStr">
        <is>
          <t>KRONOBERGS LÄN</t>
        </is>
      </c>
      <c r="G208" t="inlineStr">
        <is>
          <t>ALVESTA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46313</v>
      </c>
      <c r="F209" t="inlineStr">
        <is>
          <t>KRONOBERGS LÄN</t>
        </is>
      </c>
      <c r="G209" t="inlineStr">
        <is>
          <t>ALVESTA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46313</v>
      </c>
      <c r="F210" t="inlineStr">
        <is>
          <t>KRONOBERGS LÄN</t>
        </is>
      </c>
      <c r="G210" t="inlineStr">
        <is>
          <t>ALVESTA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46313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46313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46313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45462</v>
      </c>
      <c r="E214" s="1" t="n">
        <v>46313</v>
      </c>
      <c r="F214" t="inlineStr">
        <is>
          <t>KRONOBERGS LÄN</t>
        </is>
      </c>
      <c r="G214" t="inlineStr">
        <is>
          <t>ALVESTA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46313</v>
      </c>
      <c r="F215" t="inlineStr">
        <is>
          <t>KRONOBERGS LÄN</t>
        </is>
      </c>
      <c r="G215" t="inlineStr">
        <is>
          <t>ALVESTA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45095</v>
      </c>
      <c r="E216" s="1" t="n">
        <v>46313</v>
      </c>
      <c r="F216" t="inlineStr">
        <is>
          <t>KRONOBERGS LÄN</t>
        </is>
      </c>
      <c r="G216" t="inlineStr">
        <is>
          <t>ALVESTA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46313</v>
      </c>
      <c r="F217" t="inlineStr">
        <is>
          <t>KRONOBERGS LÄN</t>
        </is>
      </c>
      <c r="G217" t="inlineStr">
        <is>
          <t>ALVESTA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46313</v>
      </c>
      <c r="F218" t="inlineStr">
        <is>
          <t>KRONOBERGS LÄN</t>
        </is>
      </c>
      <c r="G218" t="inlineStr">
        <is>
          <t>ALVESTA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46313</v>
      </c>
      <c r="F219" t="inlineStr">
        <is>
          <t>KRONOBERGS LÄN</t>
        </is>
      </c>
      <c r="G219" t="inlineStr">
        <is>
          <t>ALVESTA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45563</v>
      </c>
      <c r="E220" s="1" t="n">
        <v>46313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46313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46313</v>
      </c>
      <c r="F222" t="inlineStr">
        <is>
          <t>KRONOBERGS LÄN</t>
        </is>
      </c>
      <c r="G222" t="inlineStr">
        <is>
          <t>ALVESTA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46313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46313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46313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46313</v>
      </c>
      <c r="F226" t="inlineStr">
        <is>
          <t>KRONOBERGS LÄN</t>
        </is>
      </c>
      <c r="G226" t="inlineStr">
        <is>
          <t>ALVESTA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46313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45858</v>
      </c>
      <c r="E228" s="1" t="n">
        <v>46313</v>
      </c>
      <c r="F228" t="inlineStr">
        <is>
          <t>KRONOBERGS LÄN</t>
        </is>
      </c>
      <c r="G228" t="inlineStr">
        <is>
          <t>ALVESTA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46313</v>
      </c>
      <c r="F229" t="inlineStr">
        <is>
          <t>KRONOBERGS LÄN</t>
        </is>
      </c>
      <c r="G229" t="inlineStr">
        <is>
          <t>ALVESTA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46313</v>
      </c>
      <c r="F230" t="inlineStr">
        <is>
          <t>KRONOBERGS LÄN</t>
        </is>
      </c>
      <c r="G230" t="inlineStr">
        <is>
          <t>ALVESTA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46313</v>
      </c>
      <c r="F231" t="inlineStr">
        <is>
          <t>KRONOBERGS LÄN</t>
        </is>
      </c>
      <c r="G231" t="inlineStr">
        <is>
          <t>ALVESTA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46313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46313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46313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46313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46313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44670</v>
      </c>
      <c r="E237" s="1" t="n">
        <v>46313</v>
      </c>
      <c r="F237" t="inlineStr">
        <is>
          <t>KRONOBERGS LÄN</t>
        </is>
      </c>
      <c r="G237" t="inlineStr">
        <is>
          <t>ALVESTA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46313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46313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46313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46313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46313</v>
      </c>
      <c r="F242" t="inlineStr">
        <is>
          <t>KRONOBERGS LÄN</t>
        </is>
      </c>
      <c r="G242" t="inlineStr">
        <is>
          <t>ALVESTA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44620</v>
      </c>
      <c r="E243" s="1" t="n">
        <v>46313</v>
      </c>
      <c r="F243" t="inlineStr">
        <is>
          <t>KRONOBERGS LÄN</t>
        </is>
      </c>
      <c r="G243" t="inlineStr">
        <is>
          <t>ALVESTA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46313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44528-2025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45916</v>
      </c>
      <c r="E245" s="1" t="n">
        <v>46313</v>
      </c>
      <c r="F245" t="inlineStr">
        <is>
          <t>KRONOBERGS LÄN</t>
        </is>
      </c>
      <c r="G245" t="inlineStr">
        <is>
          <t>ALVESTA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46313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45538</v>
      </c>
      <c r="E247" s="1" t="n">
        <v>46313</v>
      </c>
      <c r="F247" t="inlineStr">
        <is>
          <t>KRONOBERGS LÄN</t>
        </is>
      </c>
      <c r="G247" t="inlineStr">
        <is>
          <t>ALVESTA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46313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46313</v>
      </c>
      <c r="F249" t="inlineStr">
        <is>
          <t>KRONOBERGS LÄN</t>
        </is>
      </c>
      <c r="G249" t="inlineStr">
        <is>
          <t>ALVESTA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46313</v>
      </c>
      <c r="F250" t="inlineStr">
        <is>
          <t>KRONOBERGS LÄN</t>
        </is>
      </c>
      <c r="G250" t="inlineStr">
        <is>
          <t>ALVESTA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46313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46313</v>
      </c>
      <c r="F252" t="inlineStr">
        <is>
          <t>KRONOBERGS LÄN</t>
        </is>
      </c>
      <c r="G252" t="inlineStr">
        <is>
          <t>ALVESTA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46313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46313</v>
      </c>
      <c r="F254" t="inlineStr">
        <is>
          <t>KRONOBERGS LÄN</t>
        </is>
      </c>
      <c r="G254" t="inlineStr">
        <is>
          <t>ALVESTA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46313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46313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46313</v>
      </c>
      <c r="F257" t="inlineStr">
        <is>
          <t>KRONOBERGS LÄN</t>
        </is>
      </c>
      <c r="G257" t="inlineStr">
        <is>
          <t>ALVESTA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46313</v>
      </c>
      <c r="F258" t="inlineStr">
        <is>
          <t>KRONOBERGS LÄN</t>
        </is>
      </c>
      <c r="G258" t="inlineStr">
        <is>
          <t>ALVESTA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46313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46313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46313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46313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46313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46313</v>
      </c>
      <c r="F264" t="inlineStr">
        <is>
          <t>KRONOBERGS LÄN</t>
        </is>
      </c>
      <c r="G264" t="inlineStr">
        <is>
          <t>ALVESTA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38875-2022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44816</v>
      </c>
      <c r="E265" s="1" t="n">
        <v>46313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46313</v>
      </c>
      <c r="F266" t="inlineStr">
        <is>
          <t>KRONOBERGS LÄN</t>
        </is>
      </c>
      <c r="G266" t="inlineStr">
        <is>
          <t>ALVESTA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46313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45217</v>
      </c>
      <c r="E268" s="1" t="n">
        <v>46313</v>
      </c>
      <c r="F268" t="inlineStr">
        <is>
          <t>KRONOBERGS LÄN</t>
        </is>
      </c>
      <c r="G268" t="inlineStr">
        <is>
          <t>ALVESTA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45336</v>
      </c>
      <c r="E269" s="1" t="n">
        <v>46313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44805</v>
      </c>
      <c r="E270" s="1" t="n">
        <v>46313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46313</v>
      </c>
      <c r="F271" t="inlineStr">
        <is>
          <t>KRONOBERGS LÄN</t>
        </is>
      </c>
      <c r="G271" t="inlineStr">
        <is>
          <t>ALVESTA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46313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46313</v>
      </c>
      <c r="F273" t="inlineStr">
        <is>
          <t>KRONOBERGS LÄN</t>
        </is>
      </c>
      <c r="G273" t="inlineStr">
        <is>
          <t>ALVESTA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46313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46313</v>
      </c>
      <c r="F275" t="inlineStr">
        <is>
          <t>KRONOBERGS LÄN</t>
        </is>
      </c>
      <c r="G275" t="inlineStr">
        <is>
          <t>ALVESTA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45512</v>
      </c>
      <c r="E276" s="1" t="n">
        <v>46313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46313</v>
      </c>
      <c r="F277" t="inlineStr">
        <is>
          <t>KRONOBERGS LÄN</t>
        </is>
      </c>
      <c r="G277" t="inlineStr">
        <is>
          <t>ALVESTA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46313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45426</v>
      </c>
      <c r="E279" s="1" t="n">
        <v>46313</v>
      </c>
      <c r="F279" t="inlineStr">
        <is>
          <t>KRONOBERGS LÄN</t>
        </is>
      </c>
      <c r="G279" t="inlineStr">
        <is>
          <t>ALVESTA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45854</v>
      </c>
      <c r="E280" s="1" t="n">
        <v>46313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46313</v>
      </c>
      <c r="F281" t="inlineStr">
        <is>
          <t>KRONOBERGS LÄN</t>
        </is>
      </c>
      <c r="G281" t="inlineStr">
        <is>
          <t>ALVESTA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46313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46313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46313</v>
      </c>
      <c r="F284" t="inlineStr">
        <is>
          <t>KRONOBERGS LÄN</t>
        </is>
      </c>
      <c r="G284" t="inlineStr">
        <is>
          <t>ALVESTA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46313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46313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46313</v>
      </c>
      <c r="F287" t="inlineStr">
        <is>
          <t>KRONOBERGS LÄN</t>
        </is>
      </c>
      <c r="G287" t="inlineStr">
        <is>
          <t>ALVESTA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46313</v>
      </c>
      <c r="F288" t="inlineStr">
        <is>
          <t>KRONOBERGS LÄN</t>
        </is>
      </c>
      <c r="G288" t="inlineStr">
        <is>
          <t>ALVESTA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46313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46313</v>
      </c>
      <c r="F290" t="inlineStr">
        <is>
          <t>KRONOBERGS LÄN</t>
        </is>
      </c>
      <c r="G290" t="inlineStr">
        <is>
          <t>ALVESTA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46313</v>
      </c>
      <c r="F291" t="inlineStr">
        <is>
          <t>KRONOBERGS LÄN</t>
        </is>
      </c>
      <c r="G291" t="inlineStr">
        <is>
          <t>ALVESTA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46313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46313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46313</v>
      </c>
      <c r="F294" t="inlineStr">
        <is>
          <t>KRONOBERGS LÄN</t>
        </is>
      </c>
      <c r="G294" t="inlineStr">
        <is>
          <t>ALVESTA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45418</v>
      </c>
      <c r="E295" s="1" t="n">
        <v>46313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46313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46313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46313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46313</v>
      </c>
      <c r="F299" t="inlineStr">
        <is>
          <t>KRONOBERGS LÄN</t>
        </is>
      </c>
      <c r="G299" t="inlineStr">
        <is>
          <t>ALVESTA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46313</v>
      </c>
      <c r="F300" t="inlineStr">
        <is>
          <t>KRONOBERGS LÄN</t>
        </is>
      </c>
      <c r="G300" t="inlineStr">
        <is>
          <t>ALVESTA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46313</v>
      </c>
      <c r="F301" t="inlineStr">
        <is>
          <t>KRONOBERGS LÄN</t>
        </is>
      </c>
      <c r="G301" t="inlineStr">
        <is>
          <t>ALVESTA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45296</v>
      </c>
      <c r="E302" s="1" t="n">
        <v>46313</v>
      </c>
      <c r="F302" t="inlineStr">
        <is>
          <t>KRONOBERGS LÄN</t>
        </is>
      </c>
      <c r="G302" t="inlineStr">
        <is>
          <t>ALVESTA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46313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46313</v>
      </c>
      <c r="F304" t="inlineStr">
        <is>
          <t>KRONOBERGS LÄN</t>
        </is>
      </c>
      <c r="G304" t="inlineStr">
        <is>
          <t>ALVESTA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46313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46313</v>
      </c>
      <c r="F306" t="inlineStr">
        <is>
          <t>KRONOBERGS LÄN</t>
        </is>
      </c>
      <c r="G306" t="inlineStr">
        <is>
          <t>ALVESTA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45418</v>
      </c>
      <c r="E307" s="1" t="n">
        <v>46313</v>
      </c>
      <c r="F307" t="inlineStr">
        <is>
          <t>KRONOBERGS LÄN</t>
        </is>
      </c>
      <c r="G307" t="inlineStr">
        <is>
          <t>ALVESTA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46313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46313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46313</v>
      </c>
      <c r="F310" t="inlineStr">
        <is>
          <t>KRONOBERGS LÄN</t>
        </is>
      </c>
      <c r="G310" t="inlineStr">
        <is>
          <t>ALVESTA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45436</v>
      </c>
      <c r="E311" s="1" t="n">
        <v>46313</v>
      </c>
      <c r="F311" t="inlineStr">
        <is>
          <t>KRONOBERGS LÄN</t>
        </is>
      </c>
      <c r="G311" t="inlineStr">
        <is>
          <t>ALVESTA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65092-2023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45288</v>
      </c>
      <c r="E312" s="1" t="n">
        <v>46313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46313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46313</v>
      </c>
      <c r="F314" t="inlineStr">
        <is>
          <t>KRONOBERGS LÄN</t>
        </is>
      </c>
      <c r="G314" t="inlineStr">
        <is>
          <t>ALVESTA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46313</v>
      </c>
      <c r="F315" t="inlineStr">
        <is>
          <t>KRONOBERGS LÄN</t>
        </is>
      </c>
      <c r="G315" t="inlineStr">
        <is>
          <t>ALVESTA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46313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46313</v>
      </c>
      <c r="F317" t="inlineStr">
        <is>
          <t>KRONOBERGS LÄN</t>
        </is>
      </c>
      <c r="G317" t="inlineStr">
        <is>
          <t>ALVESTA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46313</v>
      </c>
      <c r="F318" t="inlineStr">
        <is>
          <t>KRONOBERGS LÄN</t>
        </is>
      </c>
      <c r="G318" t="inlineStr">
        <is>
          <t>ALVESTA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46313</v>
      </c>
      <c r="F319" t="inlineStr">
        <is>
          <t>KRONOBERGS LÄN</t>
        </is>
      </c>
      <c r="G319" t="inlineStr">
        <is>
          <t>ALVESTA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24419-2026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46169</v>
      </c>
      <c r="E320" s="1" t="n">
        <v>46313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46313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45478</v>
      </c>
      <c r="E322" s="1" t="n">
        <v>46313</v>
      </c>
      <c r="F322" t="inlineStr">
        <is>
          <t>KRONOBERGS LÄN</t>
        </is>
      </c>
      <c r="G322" t="inlineStr">
        <is>
          <t>ALVESTA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46313</v>
      </c>
      <c r="F323" t="inlineStr">
        <is>
          <t>KRONOBERGS LÄN</t>
        </is>
      </c>
      <c r="G323" t="inlineStr">
        <is>
          <t>ALVESTA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46313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46313</v>
      </c>
      <c r="F325" t="inlineStr">
        <is>
          <t>KRONOBERGS LÄN</t>
        </is>
      </c>
      <c r="G325" t="inlineStr">
        <is>
          <t>ALVESTA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46313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44635</v>
      </c>
      <c r="E327" s="1" t="n">
        <v>46313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46313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24420-2026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46169</v>
      </c>
      <c r="E329" s="1" t="n">
        <v>46313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45136</v>
      </c>
      <c r="E330" s="1" t="n">
        <v>46313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46313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46313</v>
      </c>
      <c r="F332" t="inlineStr">
        <is>
          <t>KRONOBERGS LÄN</t>
        </is>
      </c>
      <c r="G332" t="inlineStr">
        <is>
          <t>ALVESTA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46313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46313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45547</v>
      </c>
      <c r="E335" s="1" t="n">
        <v>46313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46313</v>
      </c>
      <c r="F336" t="inlineStr">
        <is>
          <t>KRONOBERGS LÄN</t>
        </is>
      </c>
      <c r="G336" t="inlineStr">
        <is>
          <t>ALVESTA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46313</v>
      </c>
      <c r="F337" t="inlineStr">
        <is>
          <t>KRONOBERGS LÄN</t>
        </is>
      </c>
      <c r="G337" t="inlineStr">
        <is>
          <t>ALVESTA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14969-2022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46313</v>
      </c>
      <c r="F338" t="inlineStr">
        <is>
          <t>KRONOBERGS LÄN</t>
        </is>
      </c>
      <c r="G338" t="inlineStr">
        <is>
          <t>ALVESTA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44914</v>
      </c>
      <c r="E339" s="1" t="n">
        <v>46313</v>
      </c>
      <c r="F339" t="inlineStr">
        <is>
          <t>KRONOBERGS LÄN</t>
        </is>
      </c>
      <c r="G339" t="inlineStr">
        <is>
          <t>ALVESTA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45128</v>
      </c>
      <c r="E340" s="1" t="n">
        <v>46313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46313</v>
      </c>
      <c r="F341" t="inlineStr">
        <is>
          <t>KRONOBERGS LÄN</t>
        </is>
      </c>
      <c r="G341" t="inlineStr">
        <is>
          <t>ALVESTA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46313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46313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45949</v>
      </c>
      <c r="E344" s="1" t="n">
        <v>46313</v>
      </c>
      <c r="F344" t="inlineStr">
        <is>
          <t>KRONOBERGS LÄN</t>
        </is>
      </c>
      <c r="G344" t="inlineStr">
        <is>
          <t>ALVESTA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46313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24692-2026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46171</v>
      </c>
      <c r="E346" s="1" t="n">
        <v>46313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46313</v>
      </c>
      <c r="F347" t="inlineStr">
        <is>
          <t>KRONOBERGS LÄN</t>
        </is>
      </c>
      <c r="G347" t="inlineStr">
        <is>
          <t>ALVESTA</t>
        </is>
      </c>
      <c r="H347" t="inlineStr">
        <is>
          <t>Kommuner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58648-2024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45635</v>
      </c>
      <c r="E348" s="1" t="n">
        <v>46313</v>
      </c>
      <c r="F348" t="inlineStr">
        <is>
          <t>KRONOBERGS LÄN</t>
        </is>
      </c>
      <c r="G348" t="inlineStr">
        <is>
          <t>ALVESTA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46313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46313</v>
      </c>
      <c r="F350" t="inlineStr">
        <is>
          <t>KRONOBERGS LÄN</t>
        </is>
      </c>
      <c r="G350" t="inlineStr">
        <is>
          <t>ALVESTA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45699</v>
      </c>
      <c r="E351" s="1" t="n">
        <v>46313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46313</v>
      </c>
      <c r="F352" t="inlineStr">
        <is>
          <t>KRONOBERGS LÄN</t>
        </is>
      </c>
      <c r="G352" t="inlineStr">
        <is>
          <t>ALVESTA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46313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46313</v>
      </c>
      <c r="F354" t="inlineStr">
        <is>
          <t>KRONOBERGS LÄN</t>
        </is>
      </c>
      <c r="G354" t="inlineStr">
        <is>
          <t>ALVESTA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46313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46177</v>
      </c>
      <c r="E356" s="1" t="n">
        <v>46313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46313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46313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62230-2023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46313</v>
      </c>
      <c r="F359" t="inlineStr">
        <is>
          <t>KRONOBERGS LÄN</t>
        </is>
      </c>
      <c r="G359" t="inlineStr">
        <is>
          <t>ALVESTA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46313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44873</v>
      </c>
      <c r="E361" s="1" t="n">
        <v>46313</v>
      </c>
      <c r="F361" t="inlineStr">
        <is>
          <t>KRONOBERGS LÄN</t>
        </is>
      </c>
      <c r="G361" t="inlineStr">
        <is>
          <t>ALVESTA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46313</v>
      </c>
      <c r="F362" t="inlineStr">
        <is>
          <t>KRONOBERGS LÄN</t>
        </is>
      </c>
      <c r="G362" t="inlineStr">
        <is>
          <t>ALVESTA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46313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46313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46313</v>
      </c>
      <c r="F365" t="inlineStr">
        <is>
          <t>KRONOBERGS LÄN</t>
        </is>
      </c>
      <c r="G365" t="inlineStr">
        <is>
          <t>ALVESTA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46313</v>
      </c>
      <c r="F366" t="inlineStr">
        <is>
          <t>KRONOBERGS LÄN</t>
        </is>
      </c>
      <c r="G366" t="inlineStr">
        <is>
          <t>ALVESTA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45135</v>
      </c>
      <c r="E367" s="1" t="n">
        <v>46313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46313</v>
      </c>
      <c r="F368" t="inlineStr">
        <is>
          <t>KRONOBERGS LÄN</t>
        </is>
      </c>
      <c r="G368" t="inlineStr">
        <is>
          <t>ALVESTA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46313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46313</v>
      </c>
      <c r="F370" t="inlineStr">
        <is>
          <t>KRONOBERGS LÄN</t>
        </is>
      </c>
      <c r="G370" t="inlineStr">
        <is>
          <t>ALVESTA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46313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46313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27077-2026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46186</v>
      </c>
      <c r="E373" s="1" t="n">
        <v>46313</v>
      </c>
      <c r="F373" t="inlineStr">
        <is>
          <t>KRONOBERGS LÄN</t>
        </is>
      </c>
      <c r="G373" t="inlineStr">
        <is>
          <t>ALVESTA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46313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46313</v>
      </c>
      <c r="F375" t="inlineStr">
        <is>
          <t>KRONOBERGS LÄN</t>
        </is>
      </c>
      <c r="G375" t="inlineStr">
        <is>
          <t>ALVESTA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46313</v>
      </c>
      <c r="F376" t="inlineStr">
        <is>
          <t>KRONOBERGS LÄN</t>
        </is>
      </c>
      <c r="G376" t="inlineStr">
        <is>
          <t>ALVESTA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45254</v>
      </c>
      <c r="E377" s="1" t="n">
        <v>46313</v>
      </c>
      <c r="F377" t="inlineStr">
        <is>
          <t>KRONOBERGS LÄN</t>
        </is>
      </c>
      <c r="G377" t="inlineStr">
        <is>
          <t>ALVESTA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46313</v>
      </c>
      <c r="F378" t="inlineStr">
        <is>
          <t>KRONOBERGS LÄN</t>
        </is>
      </c>
      <c r="G378" t="inlineStr">
        <is>
          <t>ALVESTA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27032-2026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46185</v>
      </c>
      <c r="E379" s="1" t="n">
        <v>46313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46313</v>
      </c>
      <c r="F380" t="inlineStr">
        <is>
          <t>KRONOBERGS LÄN</t>
        </is>
      </c>
      <c r="G380" t="inlineStr">
        <is>
          <t>ALVESTA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46313</v>
      </c>
      <c r="F381" t="inlineStr">
        <is>
          <t>KRONOBERGS LÄN</t>
        </is>
      </c>
      <c r="G381" t="inlineStr">
        <is>
          <t>ALVESTA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11331-2026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46081</v>
      </c>
      <c r="E382" s="1" t="n">
        <v>46313</v>
      </c>
      <c r="F382" t="inlineStr">
        <is>
          <t>KRONOBERGS LÄN</t>
        </is>
      </c>
      <c r="G382" t="inlineStr">
        <is>
          <t>ALVESTA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46313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56589-2022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44893</v>
      </c>
      <c r="E384" s="1" t="n">
        <v>46313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12818-2025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45733</v>
      </c>
      <c r="E385" s="1" t="n">
        <v>46313</v>
      </c>
      <c r="F385" t="inlineStr">
        <is>
          <t>KRONOBERGS LÄN</t>
        </is>
      </c>
      <c r="G385" t="inlineStr">
        <is>
          <t>ALVESTA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12258-2026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46087</v>
      </c>
      <c r="E386" s="1" t="n">
        <v>46313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46313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46313</v>
      </c>
      <c r="F388" t="inlineStr">
        <is>
          <t>KRONOBERGS LÄN</t>
        </is>
      </c>
      <c r="G388" t="inlineStr">
        <is>
          <t>ALVESTA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46313</v>
      </c>
      <c r="F389" t="inlineStr">
        <is>
          <t>KRONOBERGS LÄN</t>
        </is>
      </c>
      <c r="G389" t="inlineStr">
        <is>
          <t>ALVESTA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46313</v>
      </c>
      <c r="F390" t="inlineStr">
        <is>
          <t>KRONOBERGS LÄN</t>
        </is>
      </c>
      <c r="G390" t="inlineStr">
        <is>
          <t>ALVESTA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46313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46313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45476</v>
      </c>
      <c r="E393" s="1" t="n">
        <v>46313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39263-2023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45166</v>
      </c>
      <c r="E394" s="1" t="n">
        <v>46313</v>
      </c>
      <c r="F394" t="inlineStr">
        <is>
          <t>KRONOBERGS LÄN</t>
        </is>
      </c>
      <c r="G394" t="inlineStr">
        <is>
          <t>ALVESTA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46313</v>
      </c>
      <c r="F395" t="inlineStr">
        <is>
          <t>KRONOBERGS LÄN</t>
        </is>
      </c>
      <c r="G395" t="inlineStr">
        <is>
          <t>ALVESTA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46313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46313</v>
      </c>
      <c r="F397" t="inlineStr">
        <is>
          <t>KRONOBERGS LÄN</t>
        </is>
      </c>
      <c r="G397" t="inlineStr">
        <is>
          <t>ALVESTA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46313</v>
      </c>
      <c r="F398" t="inlineStr">
        <is>
          <t>KRONOBERGS LÄN</t>
        </is>
      </c>
      <c r="G398" t="inlineStr">
        <is>
          <t>ALVESTA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45155</v>
      </c>
      <c r="E399" s="1" t="n">
        <v>46313</v>
      </c>
      <c r="F399" t="inlineStr">
        <is>
          <t>KRONOBERGS LÄN</t>
        </is>
      </c>
      <c r="G399" t="inlineStr">
        <is>
          <t>ALVESTA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46313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46313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46313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46313</v>
      </c>
      <c r="F403" t="inlineStr">
        <is>
          <t>KRONOBERGS LÄN</t>
        </is>
      </c>
      <c r="G403" t="inlineStr">
        <is>
          <t>ALVESTA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46313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46313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46122</v>
      </c>
      <c r="E406" s="1" t="n">
        <v>46313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46313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17801-2026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46122</v>
      </c>
      <c r="E408" s="1" t="n">
        <v>46313</v>
      </c>
      <c r="F408" t="inlineStr">
        <is>
          <t>KRONOBERGS LÄN</t>
        </is>
      </c>
      <c r="G408" t="inlineStr">
        <is>
          <t>ALVESTA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46313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46313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44868</v>
      </c>
      <c r="E411" s="1" t="n">
        <v>46313</v>
      </c>
      <c r="F411" t="inlineStr">
        <is>
          <t>KRONOBERGS LÄN</t>
        </is>
      </c>
      <c r="G411" t="inlineStr">
        <is>
          <t>ALVESTA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46313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44601</v>
      </c>
      <c r="E413" s="1" t="n">
        <v>46313</v>
      </c>
      <c r="F413" t="inlineStr">
        <is>
          <t>KRONOBERGS LÄN</t>
        </is>
      </c>
      <c r="G413" t="inlineStr">
        <is>
          <t>ALVESTA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46313</v>
      </c>
      <c r="F414" t="inlineStr">
        <is>
          <t>KRONOBERGS LÄN</t>
        </is>
      </c>
      <c r="G414" t="inlineStr">
        <is>
          <t>ALVESTA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46313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46313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45426</v>
      </c>
      <c r="E417" s="1" t="n">
        <v>46313</v>
      </c>
      <c r="F417" t="inlineStr">
        <is>
          <t>KRONOBERGS LÄN</t>
        </is>
      </c>
      <c r="G417" t="inlineStr">
        <is>
          <t>ALVESTA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46313</v>
      </c>
      <c r="F418" t="inlineStr">
        <is>
          <t>KRONOBERGS LÄN</t>
        </is>
      </c>
      <c r="G418" t="inlineStr">
        <is>
          <t>ALVESTA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46313</v>
      </c>
      <c r="F419" t="inlineStr">
        <is>
          <t>KRONOBERGS LÄN</t>
        </is>
      </c>
      <c r="G419" t="inlineStr">
        <is>
          <t>ALVESTA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46313</v>
      </c>
      <c r="F420" t="inlineStr">
        <is>
          <t>KRONOBERGS LÄN</t>
        </is>
      </c>
      <c r="G420" t="inlineStr">
        <is>
          <t>ALVESTA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46313</v>
      </c>
      <c r="F421" t="inlineStr">
        <is>
          <t>KRONOBERGS LÄN</t>
        </is>
      </c>
      <c r="G421" t="inlineStr">
        <is>
          <t>ALVESTA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46313</v>
      </c>
      <c r="F422" t="inlineStr">
        <is>
          <t>KRONOBERGS LÄN</t>
        </is>
      </c>
      <c r="G422" t="inlineStr">
        <is>
          <t>ALVESTA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45614</v>
      </c>
      <c r="E423" s="1" t="n">
        <v>46313</v>
      </c>
      <c r="F423" t="inlineStr">
        <is>
          <t>KRONOBERGS LÄN</t>
        </is>
      </c>
      <c r="G423" t="inlineStr">
        <is>
          <t>ALVESTA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45300</v>
      </c>
      <c r="E424" s="1" t="n">
        <v>46313</v>
      </c>
      <c r="F424" t="inlineStr">
        <is>
          <t>KRONOBERGS LÄN</t>
        </is>
      </c>
      <c r="G424" t="inlineStr">
        <is>
          <t>ALVESTA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46313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46313</v>
      </c>
      <c r="F426" t="inlineStr">
        <is>
          <t>KRONOBERGS LÄN</t>
        </is>
      </c>
      <c r="G426" t="inlineStr">
        <is>
          <t>ALVESTA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46313</v>
      </c>
      <c r="F427" t="inlineStr">
        <is>
          <t>KRONOBERGS LÄN</t>
        </is>
      </c>
      <c r="G427" t="inlineStr">
        <is>
          <t>ALVESTA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46313</v>
      </c>
      <c r="F428" t="inlineStr">
        <is>
          <t>KRONOBERGS LÄN</t>
        </is>
      </c>
      <c r="G428" t="inlineStr">
        <is>
          <t>ALVESTA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46313</v>
      </c>
      <c r="F429" t="inlineStr">
        <is>
          <t>KRONOBERGS LÄN</t>
        </is>
      </c>
      <c r="G429" t="inlineStr">
        <is>
          <t>ALVESTA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46313</v>
      </c>
      <c r="F430" t="inlineStr">
        <is>
          <t>KRONOBERGS LÄN</t>
        </is>
      </c>
      <c r="G430" t="inlineStr">
        <is>
          <t>ALVESTA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45305</v>
      </c>
      <c r="E431" s="1" t="n">
        <v>46313</v>
      </c>
      <c r="F431" t="inlineStr">
        <is>
          <t>KRONOBERGS LÄN</t>
        </is>
      </c>
      <c r="G431" t="inlineStr">
        <is>
          <t>ALVESTA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46313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46313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46313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46313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46313</v>
      </c>
      <c r="F436" t="inlineStr">
        <is>
          <t>KRONOBERGS LÄN</t>
        </is>
      </c>
      <c r="G436" t="inlineStr">
        <is>
          <t>ALVESTA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45471</v>
      </c>
      <c r="E437" s="1" t="n">
        <v>46313</v>
      </c>
      <c r="F437" t="inlineStr">
        <is>
          <t>KRONOBERGS LÄN</t>
        </is>
      </c>
      <c r="G437" t="inlineStr">
        <is>
          <t>ALVESTA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46313</v>
      </c>
      <c r="F438" t="inlineStr">
        <is>
          <t>KRONOBERGS LÄN</t>
        </is>
      </c>
      <c r="G438" t="inlineStr">
        <is>
          <t>ALVESTA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46313</v>
      </c>
      <c r="F439" t="inlineStr">
        <is>
          <t>KRONOBERGS LÄN</t>
        </is>
      </c>
      <c r="G439" t="inlineStr">
        <is>
          <t>ALVESTA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45613</v>
      </c>
      <c r="E440" s="1" t="n">
        <v>46313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46313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45114</v>
      </c>
      <c r="E442" s="1" t="n">
        <v>46313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46313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46313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46313</v>
      </c>
      <c r="F445" t="inlineStr">
        <is>
          <t>KRONOBERGS LÄN</t>
        </is>
      </c>
      <c r="G445" t="inlineStr">
        <is>
          <t>ALVESTA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46313</v>
      </c>
      <c r="F446" t="inlineStr">
        <is>
          <t>KRONOBERGS LÄN</t>
        </is>
      </c>
      <c r="G446" t="inlineStr">
        <is>
          <t>ALVESTA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9687-2024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45362</v>
      </c>
      <c r="E447" s="1" t="n">
        <v>46313</v>
      </c>
      <c r="F447" t="inlineStr">
        <is>
          <t>KRONOBERGS LÄN</t>
        </is>
      </c>
      <c r="G447" t="inlineStr">
        <is>
          <t>ALVESTA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46313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44995</v>
      </c>
      <c r="E449" s="1" t="n">
        <v>46313</v>
      </c>
      <c r="F449" t="inlineStr">
        <is>
          <t>KRONOBERGS LÄN</t>
        </is>
      </c>
      <c r="G449" t="inlineStr">
        <is>
          <t>ALVESTA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46313</v>
      </c>
      <c r="F450" t="inlineStr">
        <is>
          <t>KRONOBERGS LÄN</t>
        </is>
      </c>
      <c r="G450" t="inlineStr">
        <is>
          <t>ALVESTA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46313</v>
      </c>
      <c r="F451" t="inlineStr">
        <is>
          <t>KRONOBERGS LÄN</t>
        </is>
      </c>
      <c r="G451" t="inlineStr">
        <is>
          <t>ALVESTA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46313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46313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46313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46272</v>
      </c>
      <c r="E455" s="1" t="n">
        <v>46313</v>
      </c>
      <c r="F455" t="inlineStr">
        <is>
          <t>KRONOBERGS LÄN</t>
        </is>
      </c>
      <c r="G455" t="inlineStr">
        <is>
          <t>ALVESTA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46313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45308</v>
      </c>
      <c r="E457" s="1" t="n">
        <v>46313</v>
      </c>
      <c r="F457" t="inlineStr">
        <is>
          <t>KRONOBERGS LÄN</t>
        </is>
      </c>
      <c r="G457" t="inlineStr">
        <is>
          <t>ALVESTA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46313</v>
      </c>
      <c r="F458" t="inlineStr">
        <is>
          <t>KRONOBERGS LÄN</t>
        </is>
      </c>
      <c r="G458" t="inlineStr">
        <is>
          <t>ALVESTA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46313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46274</v>
      </c>
      <c r="E460" s="1" t="n">
        <v>46313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45524</v>
      </c>
      <c r="E461" s="1" t="n">
        <v>46313</v>
      </c>
      <c r="F461" t="inlineStr">
        <is>
          <t>KRONOBERGS LÄN</t>
        </is>
      </c>
      <c r="G461" t="inlineStr">
        <is>
          <t>ALVESTA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46313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46313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46313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46313</v>
      </c>
      <c r="F465" t="inlineStr">
        <is>
          <t>KRONOBERGS LÄN</t>
        </is>
      </c>
      <c r="G465" t="inlineStr">
        <is>
          <t>ALVESTA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46313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46313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45358</v>
      </c>
      <c r="E468" s="1" t="n">
        <v>46313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46313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44925</v>
      </c>
      <c r="E470" s="1" t="n">
        <v>46313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46313</v>
      </c>
      <c r="F471" t="inlineStr">
        <is>
          <t>KRONOBERGS LÄN</t>
        </is>
      </c>
      <c r="G471" t="inlineStr">
        <is>
          <t>ALVESTA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46313</v>
      </c>
      <c r="F472" t="inlineStr">
        <is>
          <t>KRONOBERGS LÄN</t>
        </is>
      </c>
      <c r="G472" t="inlineStr">
        <is>
          <t>ALVESTA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46313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46313</v>
      </c>
      <c r="F474" t="inlineStr">
        <is>
          <t>KRONOBERGS LÄN</t>
        </is>
      </c>
      <c r="G474" t="inlineStr">
        <is>
          <t>ALVESTA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45032</v>
      </c>
      <c r="E475" s="1" t="n">
        <v>46313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46238</v>
      </c>
      <c r="E476" s="1" t="n">
        <v>46313</v>
      </c>
      <c r="F476" t="inlineStr">
        <is>
          <t>KRONOBERGS LÄN</t>
        </is>
      </c>
      <c r="G476" t="inlineStr">
        <is>
          <t>ALVESTA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50703-2023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46313</v>
      </c>
      <c r="F477" t="inlineStr">
        <is>
          <t>KRONOBERGS LÄN</t>
        </is>
      </c>
      <c r="G477" t="inlineStr">
        <is>
          <t>ALVESTA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45128</v>
      </c>
      <c r="E478" s="1" t="n">
        <v>46313</v>
      </c>
      <c r="F478" t="inlineStr">
        <is>
          <t>KRONOBERGS LÄN</t>
        </is>
      </c>
      <c r="G478" t="inlineStr">
        <is>
          <t>ALVESTA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45744</v>
      </c>
      <c r="E479" s="1" t="n">
        <v>46313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44747</v>
      </c>
      <c r="E480" s="1" t="n">
        <v>46313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44978</v>
      </c>
      <c r="E481" s="1" t="n">
        <v>46313</v>
      </c>
      <c r="F481" t="inlineStr">
        <is>
          <t>KRONOBERGS LÄN</t>
        </is>
      </c>
      <c r="G481" t="inlineStr">
        <is>
          <t>ALVESTA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46313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46286</v>
      </c>
      <c r="E483" s="1" t="n">
        <v>46313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46313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46313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46313</v>
      </c>
      <c r="F486" t="inlineStr">
        <is>
          <t>KRONOBERGS LÄN</t>
        </is>
      </c>
      <c r="G486" t="inlineStr">
        <is>
          <t>ALVESTA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44581</v>
      </c>
      <c r="E487" s="1" t="n">
        <v>46313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45544</v>
      </c>
      <c r="E488" s="1" t="n">
        <v>46313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46313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46313</v>
      </c>
      <c r="F490" t="inlineStr">
        <is>
          <t>KRONOBERGS LÄN</t>
        </is>
      </c>
      <c r="G490" t="inlineStr">
        <is>
          <t>ALVESTA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46313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45136</v>
      </c>
      <c r="E492" s="1" t="n">
        <v>46313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46313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46313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46313</v>
      </c>
      <c r="F495" t="inlineStr">
        <is>
          <t>KRONOBERGS LÄN</t>
        </is>
      </c>
      <c r="G495" t="inlineStr">
        <is>
          <t>ALVESTA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46241</v>
      </c>
      <c r="E496" s="1" t="n">
        <v>46313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46313</v>
      </c>
      <c r="F497" t="inlineStr">
        <is>
          <t>KRONOBERGS LÄN</t>
        </is>
      </c>
      <c r="G497" t="inlineStr">
        <is>
          <t>ALVESTA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46313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46241</v>
      </c>
      <c r="E499" s="1" t="n">
        <v>46313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46241</v>
      </c>
      <c r="E500" s="1" t="n">
        <v>46313</v>
      </c>
      <c r="F500" t="inlineStr">
        <is>
          <t>KRONOBERGS LÄN</t>
        </is>
      </c>
      <c r="G500" t="inlineStr">
        <is>
          <t>ALVESTA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46313</v>
      </c>
      <c r="F501" t="inlineStr">
        <is>
          <t>KRONOBERGS LÄN</t>
        </is>
      </c>
      <c r="G501" t="inlineStr">
        <is>
          <t>ALVESTA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40566-2024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45555</v>
      </c>
      <c r="E502" s="1" t="n">
        <v>46313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46313</v>
      </c>
      <c r="F503" t="inlineStr">
        <is>
          <t>KRONOBERGS LÄN</t>
        </is>
      </c>
      <c r="G503" t="inlineStr">
        <is>
          <t>ALVESTA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45595</v>
      </c>
      <c r="E504" s="1" t="n">
        <v>46313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46313</v>
      </c>
      <c r="F505" t="inlineStr">
        <is>
          <t>KRONOBERGS LÄN</t>
        </is>
      </c>
      <c r="G505" t="inlineStr">
        <is>
          <t>ALVESTA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46313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46313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46313</v>
      </c>
      <c r="F508" t="inlineStr">
        <is>
          <t>KRONOBERGS LÄN</t>
        </is>
      </c>
      <c r="G508" t="inlineStr">
        <is>
          <t>ALVESTA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46313</v>
      </c>
      <c r="F509" t="inlineStr">
        <is>
          <t>KRONOBERGS LÄN</t>
        </is>
      </c>
      <c r="G509" t="inlineStr">
        <is>
          <t>ALVESTA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45330</v>
      </c>
      <c r="E510" s="1" t="n">
        <v>46313</v>
      </c>
      <c r="F510" t="inlineStr">
        <is>
          <t>KRONOBERGS LÄN</t>
        </is>
      </c>
      <c r="G510" t="inlineStr">
        <is>
          <t>ALVESTA</t>
        </is>
      </c>
      <c r="H510" t="inlineStr">
        <is>
          <t>Övriga Aktiebolag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26225-2022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44735</v>
      </c>
      <c r="E511" s="1" t="n">
        <v>46313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46313</v>
      </c>
      <c r="F512" t="inlineStr">
        <is>
          <t>KRONOBERGS LÄN</t>
        </is>
      </c>
      <c r="G512" t="inlineStr">
        <is>
          <t>ALVESTA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46313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46313</v>
      </c>
      <c r="F514" t="inlineStr">
        <is>
          <t>KRONOBERGS LÄN</t>
        </is>
      </c>
      <c r="G514" t="inlineStr">
        <is>
          <t>ALVESTA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46290</v>
      </c>
      <c r="E515" s="1" t="n">
        <v>46313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44895</v>
      </c>
      <c r="E516" s="1" t="n">
        <v>46313</v>
      </c>
      <c r="F516" t="inlineStr">
        <is>
          <t>KRONOBERGS LÄN</t>
        </is>
      </c>
      <c r="G516" t="inlineStr">
        <is>
          <t>ALVESTA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45519</v>
      </c>
      <c r="E517" s="1" t="n">
        <v>46313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46313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46313</v>
      </c>
      <c r="F519" t="inlineStr">
        <is>
          <t>KRONOBERGS LÄN</t>
        </is>
      </c>
      <c r="G519" t="inlineStr">
        <is>
          <t>ALVESTA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46313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72318-2021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46313</v>
      </c>
      <c r="F521" t="inlineStr">
        <is>
          <t>KRONOBERGS LÄN</t>
        </is>
      </c>
      <c r="G521" t="inlineStr">
        <is>
          <t>ALVESTA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46313</v>
      </c>
      <c r="F522" t="inlineStr">
        <is>
          <t>KRONOBERGS LÄN</t>
        </is>
      </c>
      <c r="G522" t="inlineStr">
        <is>
          <t>ALVESTA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46313</v>
      </c>
      <c r="F523" t="inlineStr">
        <is>
          <t>KRONOBERGS LÄN</t>
        </is>
      </c>
      <c r="G523" t="inlineStr">
        <is>
          <t>ALVESTA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46313</v>
      </c>
      <c r="F524" t="inlineStr">
        <is>
          <t>KRONOBERGS LÄN</t>
        </is>
      </c>
      <c r="G524" t="inlineStr">
        <is>
          <t>ALVESTA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46313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42397-2023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46313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38385-2022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46313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46313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45149</v>
      </c>
      <c r="E529" s="1" t="n">
        <v>46313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46313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46313</v>
      </c>
      <c r="F531" t="inlineStr">
        <is>
          <t>KRONOBERGS LÄN</t>
        </is>
      </c>
      <c r="G531" t="inlineStr">
        <is>
          <t>ALVESTA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45653</v>
      </c>
      <c r="E532" s="1" t="n">
        <v>46313</v>
      </c>
      <c r="F532" t="inlineStr">
        <is>
          <t>KRONOBERGS LÄN</t>
        </is>
      </c>
      <c r="G532" t="inlineStr">
        <is>
          <t>ALVESTA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45447</v>
      </c>
      <c r="E533" s="1" t="n">
        <v>46313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46313</v>
      </c>
      <c r="F534" t="inlineStr">
        <is>
          <t>KRONOBERGS LÄN</t>
        </is>
      </c>
      <c r="G534" t="inlineStr">
        <is>
          <t>ALVESTA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37278-2024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46313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46297</v>
      </c>
      <c r="E536" s="1" t="n">
        <v>46313</v>
      </c>
      <c r="F536" t="inlineStr">
        <is>
          <t>KRONOBERGS LÄN</t>
        </is>
      </c>
      <c r="G536" t="inlineStr">
        <is>
          <t>ALVESTA</t>
        </is>
      </c>
      <c r="H536" t="inlineStr">
        <is>
          <t>Övriga Aktiebolag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40836-2026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46296</v>
      </c>
      <c r="E537" s="1" t="n">
        <v>46313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45288</v>
      </c>
      <c r="E538" s="1" t="n">
        <v>46313</v>
      </c>
      <c r="F538" t="inlineStr">
        <is>
          <t>KRONOBERGS LÄN</t>
        </is>
      </c>
      <c r="G538" t="inlineStr">
        <is>
          <t>ALVESTA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44998</v>
      </c>
      <c r="E539" s="1" t="n">
        <v>46313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45712</v>
      </c>
      <c r="E540" s="1" t="n">
        <v>46313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45551</v>
      </c>
      <c r="E541" s="1" t="n">
        <v>46313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46313</v>
      </c>
      <c r="F542" t="inlineStr">
        <is>
          <t>KRONOBERGS LÄN</t>
        </is>
      </c>
      <c r="G542" t="inlineStr">
        <is>
          <t>ALVESTA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46313</v>
      </c>
      <c r="F543" t="inlineStr">
        <is>
          <t>KRONOBERGS LÄN</t>
        </is>
      </c>
      <c r="G543" t="inlineStr">
        <is>
          <t>ALVESTA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46313</v>
      </c>
      <c r="F544" t="inlineStr">
        <is>
          <t>KRONOBERGS LÄN</t>
        </is>
      </c>
      <c r="G544" t="inlineStr">
        <is>
          <t>ALVESTA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59340-2025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46313</v>
      </c>
      <c r="F545" t="inlineStr">
        <is>
          <t>KRONOBERGS LÄN</t>
        </is>
      </c>
      <c r="G545" t="inlineStr">
        <is>
          <t>ALVESTA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46313</v>
      </c>
      <c r="F546" t="inlineStr">
        <is>
          <t>KRONOBERGS LÄN</t>
        </is>
      </c>
      <c r="G546" t="inlineStr">
        <is>
          <t>ALVESTA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46300</v>
      </c>
      <c r="E547" s="1" t="n">
        <v>46313</v>
      </c>
      <c r="F547" t="inlineStr">
        <is>
          <t>KRONOBERGS LÄN</t>
        </is>
      </c>
      <c r="G547" t="inlineStr">
        <is>
          <t>ALVESTA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45407</v>
      </c>
      <c r="E548" s="1" t="n">
        <v>46313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45418</v>
      </c>
      <c r="E549" s="1" t="n">
        <v>46313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46259</v>
      </c>
      <c r="E550" s="1" t="n">
        <v>46313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46313</v>
      </c>
      <c r="F551" t="inlineStr">
        <is>
          <t>KRONOBERGS LÄN</t>
        </is>
      </c>
      <c r="G551" t="inlineStr">
        <is>
          <t>ALVESTA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46313</v>
      </c>
      <c r="F552" t="inlineStr">
        <is>
          <t>KRONOBERGS LÄN</t>
        </is>
      </c>
      <c r="G552" t="inlineStr">
        <is>
          <t>ALVESTA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46302</v>
      </c>
      <c r="E553" s="1" t="n">
        <v>46313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46313</v>
      </c>
      <c r="F554" t="inlineStr">
        <is>
          <t>KRONOBERGS LÄN</t>
        </is>
      </c>
      <c r="G554" t="inlineStr">
        <is>
          <t>ALVESTA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46313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45363</v>
      </c>
      <c r="E556" s="1" t="n">
        <v>46313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46303</v>
      </c>
      <c r="E557" s="1" t="n">
        <v>46313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46303</v>
      </c>
      <c r="E558" s="1" t="n">
        <v>46313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46313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46313</v>
      </c>
      <c r="F560" t="inlineStr">
        <is>
          <t>KRONOBERGS LÄN</t>
        </is>
      </c>
      <c r="G560" t="inlineStr">
        <is>
          <t>ALVESTA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23006-2025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46313</v>
      </c>
      <c r="F561" t="inlineStr">
        <is>
          <t>KRONOBERGS LÄN</t>
        </is>
      </c>
      <c r="G561" t="inlineStr">
        <is>
          <t>ALVESTA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45015</v>
      </c>
      <c r="E562" s="1" t="n">
        <v>46313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46313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45544</v>
      </c>
      <c r="E564" s="1" t="n">
        <v>46313</v>
      </c>
      <c r="F564" t="inlineStr">
        <is>
          <t>KRONOBERGS LÄN</t>
        </is>
      </c>
      <c r="G564" t="inlineStr">
        <is>
          <t>ALVESTA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46313</v>
      </c>
      <c r="F565" t="inlineStr">
        <is>
          <t>KRONOBERGS LÄN</t>
        </is>
      </c>
      <c r="G565" t="inlineStr">
        <is>
          <t>ALVESTA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46313</v>
      </c>
      <c r="F566" t="inlineStr">
        <is>
          <t>KRONOBERGS LÄN</t>
        </is>
      </c>
      <c r="G566" t="inlineStr">
        <is>
          <t>ALVESTA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46313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25220-2025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45798</v>
      </c>
      <c r="E568" s="1" t="n">
        <v>46313</v>
      </c>
      <c r="F568" t="inlineStr">
        <is>
          <t>KRONOBERGS LÄN</t>
        </is>
      </c>
      <c r="G568" t="inlineStr">
        <is>
          <t>ALVESTA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44601</v>
      </c>
      <c r="E569" s="1" t="n">
        <v>46313</v>
      </c>
      <c r="F569" t="inlineStr">
        <is>
          <t>KRONOBERGS LÄN</t>
        </is>
      </c>
      <c r="G569" t="inlineStr">
        <is>
          <t>ALVESTA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46313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46313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46313</v>
      </c>
      <c r="F572" t="inlineStr">
        <is>
          <t>KRONOBERGS LÄN</t>
        </is>
      </c>
      <c r="G572" t="inlineStr">
        <is>
          <t>ALVESTA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46313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46313</v>
      </c>
      <c r="F574" t="inlineStr">
        <is>
          <t>KRONOBERGS LÄN</t>
        </is>
      </c>
      <c r="G574" t="inlineStr">
        <is>
          <t>ALVESTA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44816</v>
      </c>
      <c r="E575" s="1" t="n">
        <v>46313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59052-2021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44490</v>
      </c>
      <c r="E576" s="1" t="n">
        <v>46313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46309</v>
      </c>
      <c r="E577" s="1" t="n">
        <v>46313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46313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46313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46313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46313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46313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46313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46313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46313</v>
      </c>
      <c r="F585" t="inlineStr">
        <is>
          <t>KRONOBERGS LÄN</t>
        </is>
      </c>
      <c r="G585" t="inlineStr">
        <is>
          <t>ALVESTA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46313</v>
      </c>
      <c r="F586" t="inlineStr">
        <is>
          <t>KRONOBERGS LÄN</t>
        </is>
      </c>
      <c r="G586" t="inlineStr">
        <is>
          <t>ALVESTA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46313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46313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45769</v>
      </c>
      <c r="E589" s="1" t="n">
        <v>46313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46313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46313</v>
      </c>
      <c r="F591" t="inlineStr">
        <is>
          <t>KRONOBERGS LÄN</t>
        </is>
      </c>
      <c r="G591" t="inlineStr">
        <is>
          <t>ALVESTA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46313</v>
      </c>
      <c r="F592" t="inlineStr">
        <is>
          <t>KRONOBERGS LÄN</t>
        </is>
      </c>
      <c r="G592" t="inlineStr">
        <is>
          <t>ALVESTA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46313</v>
      </c>
      <c r="F593" t="inlineStr">
        <is>
          <t>KRONOBERGS LÄN</t>
        </is>
      </c>
      <c r="G593" t="inlineStr">
        <is>
          <t>ALVESTA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46313</v>
      </c>
      <c r="F594" t="inlineStr">
        <is>
          <t>KRONOBERGS LÄN</t>
        </is>
      </c>
      <c r="G594" t="inlineStr">
        <is>
          <t>ALVESTA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46313</v>
      </c>
      <c r="F595" t="inlineStr">
        <is>
          <t>KRONOBERGS LÄN</t>
        </is>
      </c>
      <c r="G595" t="inlineStr">
        <is>
          <t>ALVESTA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45847</v>
      </c>
      <c r="E596" s="1" t="n">
        <v>46313</v>
      </c>
      <c r="F596" t="inlineStr">
        <is>
          <t>KRONOBERGS LÄN</t>
        </is>
      </c>
      <c r="G596" t="inlineStr">
        <is>
          <t>ALVESTA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46313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46313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46313</v>
      </c>
      <c r="F599" t="inlineStr">
        <is>
          <t>KRONOBERGS LÄN</t>
        </is>
      </c>
      <c r="G599" t="inlineStr">
        <is>
          <t>ALVESTA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46313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60202-2021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44495</v>
      </c>
      <c r="E601" s="1" t="n">
        <v>46313</v>
      </c>
      <c r="F601" t="inlineStr">
        <is>
          <t>KRONOBERGS LÄN</t>
        </is>
      </c>
      <c r="G601" t="inlineStr">
        <is>
          <t>ALVESTA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45868</v>
      </c>
      <c r="E602" s="1" t="n">
        <v>46313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46313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46313</v>
      </c>
      <c r="F604" t="inlineStr">
        <is>
          <t>KRONOBERGS LÄN</t>
        </is>
      </c>
      <c r="G604" t="inlineStr">
        <is>
          <t>ALVESTA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45875</v>
      </c>
      <c r="E605" s="1" t="n">
        <v>46313</v>
      </c>
      <c r="F605" t="inlineStr">
        <is>
          <t>KRONOBERGS LÄN</t>
        </is>
      </c>
      <c r="G605" t="inlineStr">
        <is>
          <t>ALVESTA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46313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46313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46313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46313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46313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46313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46313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46313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46313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46313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46313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46313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46313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46313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46313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46313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46313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46313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46313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46313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46313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46313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46313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46313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46313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46313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46313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46313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46313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46313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46313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46313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46313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46313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2026-10-18T08:04:23Z</dcterms:created>
  <dcterms:modified xmlns:dcterms="http://purl.org/dc/terms/" xmlns:xsi="http://www.w3.org/2001/XMLSchema-instance" xsi:type="dcterms:W3CDTF">2026-10-18T08:04:23Z</dcterms:modified>
</cp:coreProperties>
</file>