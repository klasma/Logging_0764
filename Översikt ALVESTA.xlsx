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46311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46311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46311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46311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46311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46311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46311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46311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46311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46311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28740-2024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45478</v>
      </c>
      <c r="E24" s="1" t="n">
        <v>46311</v>
      </c>
      <c r="F24" t="inlineStr">
        <is>
          <t>KRONOBERGS LÄN</t>
        </is>
      </c>
      <c r="G24" t="inlineStr">
        <is>
          <t>ALVESTA</t>
        </is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Västlig hakmossa
Revlummer</t>
        </is>
      </c>
      <c r="W24">
        <f>HYPERLINK("https://klasma.github.io/Logging_0764/artfynd/A 28740-2024 artfynd.xlsx", "A 28740-2024")</f>
        <v/>
      </c>
      <c r="X24">
        <f>HYPERLINK("https://klasma.github.io/Logging_0764/kartor/A 28740-2024 karta.png", "A 28740-2024")</f>
        <v/>
      </c>
      <c r="Y24">
        <f>HYPERLINK("https://klasma.github.io/Logging_0764/kartor_geotiff/A 28740-2024 georefererad karta.tif", "A 28740-2024")</f>
        <v/>
      </c>
      <c r="AA24">
        <f>HYPERLINK("https://klasma.github.io/Logging_0764/klagomål/A 28740-2024 FSC-klagomål.docx", "A 28740-2024")</f>
        <v/>
      </c>
      <c r="AB24">
        <f>HYPERLINK("https://klasma.github.io/Logging_0764/klagomålsmail/A 28740-2024 FSC-klagomål mail.docx", "A 28740-2024")</f>
        <v/>
      </c>
      <c r="AC24">
        <f>HYPERLINK("https://klasma.github.io/Logging_0764/tillsyn/A 28740-2024 tillsynsbegäran.docx", "A 28740-2024")</f>
        <v/>
      </c>
      <c r="AD24">
        <f>HYPERLINK("https://klasma.github.io/Logging_0764/tillsynsmail/A 28740-2024 tillsynsbegäran mail.docx", "A 28740-2024")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46311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46311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46311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A 51785-2025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45951</v>
      </c>
      <c r="E28" s="1" t="n">
        <v>46311</v>
      </c>
      <c r="F28" t="inlineStr">
        <is>
          <t>KRONOBERGS LÄN</t>
        </is>
      </c>
      <c r="G28" t="inlineStr">
        <is>
          <t>ALVESTA</t>
        </is>
      </c>
      <c r="I28" t="n">
        <v>24.5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Lopplummer (aggregat)</t>
        </is>
      </c>
      <c r="W28">
        <f>HYPERLINK("https://klasma.github.io/Logging_0764/artfynd/A 51785-2025 artfynd.xlsx", "A 51785-2025")</f>
        <v/>
      </c>
      <c r="X28">
        <f>HYPERLINK("https://klasma.github.io/Logging_0764/kartor/A 51785-2025 karta.png", "A 51785-2025")</f>
        <v/>
      </c>
      <c r="Y28">
        <f>HYPERLINK("https://klasma.github.io/Logging_0764/kartor_geotiff/A 51785-2025 georefererad karta.tif", "A 51785-2025")</f>
        <v/>
      </c>
      <c r="AA28">
        <f>HYPERLINK("https://klasma.github.io/Logging_0764/klagomål/A 51785-2025 FSC-klagomål.docx", "A 51785-2025")</f>
        <v/>
      </c>
      <c r="AB28">
        <f>HYPERLINK("https://klasma.github.io/Logging_0764/klagomålsmail/A 51785-2025 FSC-klagomål mail.docx", "A 51785-2025")</f>
        <v/>
      </c>
      <c r="AC28">
        <f>HYPERLINK("https://klasma.github.io/Logging_0764/tillsyn/A 51785-2025 tillsynsbegäran.docx", "A 51785-2025")</f>
        <v/>
      </c>
      <c r="AD28">
        <f>HYPERLINK("https://klasma.github.io/Logging_0764/tillsynsmail/A 51785-2025 tillsynsbegäran mail.docx", "A 51785-2025")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46311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1811-2025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46311</v>
      </c>
      <c r="F30" t="inlineStr">
        <is>
          <t>KRONOBERGS LÄN</t>
        </is>
      </c>
      <c r="G30" t="inlineStr">
        <is>
          <t>ALVESTA</t>
        </is>
      </c>
      <c r="H30" t="inlineStr">
        <is>
          <t>Kyrkan</t>
        </is>
      </c>
      <c r="I30" t="n">
        <v>2.3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Blomkålssvamp
Spillkråka</t>
        </is>
      </c>
      <c r="W30">
        <f>HYPERLINK("https://klasma.github.io/Logging_0764/artfynd/A 1811-2025 artfynd.xlsx", "A 1811-2025")</f>
        <v/>
      </c>
      <c r="X30">
        <f>HYPERLINK("https://klasma.github.io/Logging_0764/kartor/A 1811-2025 karta.png", "A 1811-2025")</f>
        <v/>
      </c>
      <c r="Y30">
        <f>HYPERLINK("https://klasma.github.io/Logging_0764/kartor_geotiff/A 1811-2025 georefererad karta.tif", "A 1811-2025")</f>
        <v/>
      </c>
      <c r="AA30">
        <f>HYPERLINK("https://klasma.github.io/Logging_0764/klagomål/A 1811-2025 FSC-klagomål.docx", "A 1811-2025")</f>
        <v/>
      </c>
      <c r="AB30">
        <f>HYPERLINK("https://klasma.github.io/Logging_0764/klagomålsmail/A 1811-2025 FSC-klagomål mail.docx", "A 1811-2025")</f>
        <v/>
      </c>
      <c r="AC30">
        <f>HYPERLINK("https://klasma.github.io/Logging_0764/tillsyn/A 1811-2025 tillsynsbegäran.docx", "A 1811-2025")</f>
        <v/>
      </c>
      <c r="AD30">
        <f>HYPERLINK("https://klasma.github.io/Logging_0764/tillsynsmail/A 1811-2025 tillsynsbegäran mail.docx", "A 1811-2025")</f>
        <v/>
      </c>
      <c r="AE30">
        <f>HYPERLINK("https://klasma.github.io/Logging_0764/fåglar/A 1811-2025 prioriterade fågelarter.docx", "A 1811-2025")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46311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A 37143-2026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46311</v>
      </c>
      <c r="F32" t="inlineStr">
        <is>
          <t>KRONOBERGS LÄN</t>
        </is>
      </c>
      <c r="G32" t="inlineStr">
        <is>
          <t>ALVESTA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Vedtrappmossa
Stor revmossa</t>
        </is>
      </c>
      <c r="W32">
        <f>HYPERLINK("https://klasma.github.io/Logging_0764/artfynd/A 37143-2026 artfynd.xlsx", "A 37143-2026")</f>
        <v/>
      </c>
      <c r="X32">
        <f>HYPERLINK("https://klasma.github.io/Logging_0764/kartor/A 37143-2026 karta.png", "A 37143-2026")</f>
        <v/>
      </c>
      <c r="Y32">
        <f>HYPERLINK("https://klasma.github.io/Logging_0764/kartor_geotiff/A 37143-2026 georefererad karta.tif", "A 37143-2026")</f>
        <v/>
      </c>
      <c r="AA32">
        <f>HYPERLINK("https://klasma.github.io/Logging_0764/klagomål/A 37143-2026 FSC-klagomål.docx", "A 37143-2026")</f>
        <v/>
      </c>
      <c r="AB32">
        <f>HYPERLINK("https://klasma.github.io/Logging_0764/klagomålsmail/A 37143-2026 FSC-klagomål mail.docx", "A 37143-2026")</f>
        <v/>
      </c>
      <c r="AC32">
        <f>HYPERLINK("https://klasma.github.io/Logging_0764/tillsyn/A 37143-2026 tillsynsbegäran.docx", "A 37143-2026")</f>
        <v/>
      </c>
      <c r="AD32">
        <f>HYPERLINK("https://klasma.github.io/Logging_0764/tillsynsmail/A 37143-2026 tillsynsbegäran mail.docx", "A 37143-2026")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46311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46311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46311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46311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46311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46311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46311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46311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46311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46311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37608-2022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46311</v>
      </c>
      <c r="F43" t="inlineStr">
        <is>
          <t>KRONOBERGS LÄN</t>
        </is>
      </c>
      <c r="G43" t="inlineStr">
        <is>
          <t>ALVESTA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Gropticka</t>
        </is>
      </c>
      <c r="W43">
        <f>HYPERLINK("https://klasma.github.io/Logging_0764/artfynd/A 37608-2022 artfynd.xlsx", "A 37608-2022")</f>
        <v/>
      </c>
      <c r="X43">
        <f>HYPERLINK("https://klasma.github.io/Logging_0764/kartor/A 37608-2022 karta.png", "A 37608-2022")</f>
        <v/>
      </c>
      <c r="Y43">
        <f>HYPERLINK("https://klasma.github.io/Logging_0764/kartor_geotiff/A 37608-2022 georefererad karta.tif", "A 37608-2022")</f>
        <v/>
      </c>
      <c r="AA43">
        <f>HYPERLINK("https://klasma.github.io/Logging_0764/klagomål/A 37608-2022 FSC-klagomål.docx", "A 37608-2022")</f>
        <v/>
      </c>
      <c r="AB43">
        <f>HYPERLINK("https://klasma.github.io/Logging_0764/klagomålsmail/A 37608-2022 FSC-klagomål mail.docx", "A 37608-2022")</f>
        <v/>
      </c>
      <c r="AC43">
        <f>HYPERLINK("https://klasma.github.io/Logging_0764/tillsyn/A 37608-2022 tillsynsbegäran.docx", "A 37608-2022")</f>
        <v/>
      </c>
      <c r="AD43">
        <f>HYPERLINK("https://klasma.github.io/Logging_0764/tillsynsmail/A 37608-2022 tillsynsbegäran mail.docx", "A 37608-2022")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46311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46311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46311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46311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11669-2024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46311</v>
      </c>
      <c r="F48" t="inlineStr">
        <is>
          <t>KRONOBERGS LÄN</t>
        </is>
      </c>
      <c r="G48" t="inlineStr">
        <is>
          <t>ALVESTA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Skuggmossa</t>
        </is>
      </c>
      <c r="W48">
        <f>HYPERLINK("https://klasma.github.io/Logging_0764/artfynd/A 11669-2024 artfynd.xlsx", "A 11669-2024")</f>
        <v/>
      </c>
      <c r="X48">
        <f>HYPERLINK("https://klasma.github.io/Logging_0764/kartor/A 11669-2024 karta.png", "A 11669-2024")</f>
        <v/>
      </c>
      <c r="Y48">
        <f>HYPERLINK("https://klasma.github.io/Logging_0764/kartor_geotiff/A 11669-2024 georefererad karta.tif", "A 11669-2024")</f>
        <v/>
      </c>
      <c r="AA48">
        <f>HYPERLINK("https://klasma.github.io/Logging_0764/klagomål/A 11669-2024 FSC-klagomål.docx", "A 11669-2024")</f>
        <v/>
      </c>
      <c r="AB48">
        <f>HYPERLINK("https://klasma.github.io/Logging_0764/klagomålsmail/A 11669-2024 FSC-klagomål mail.docx", "A 11669-2024")</f>
        <v/>
      </c>
      <c r="AC48">
        <f>HYPERLINK("https://klasma.github.io/Logging_0764/tillsyn/A 11669-2024 tillsynsbegäran.docx", "A 11669-2024")</f>
        <v/>
      </c>
      <c r="AD48">
        <f>HYPERLINK("https://klasma.github.io/Logging_0764/tillsynsmail/A 11669-2024 tillsynsbegäran mail.docx", "A 11669-2024")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46311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60729-2025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45996</v>
      </c>
      <c r="E50" s="1" t="n">
        <v>46311</v>
      </c>
      <c r="F50" t="inlineStr">
        <is>
          <t>KRONOBERGS LÄN</t>
        </is>
      </c>
      <c r="G50" t="inlineStr">
        <is>
          <t>ALVESTA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HYPERLINK("https://klasma.github.io/Logging_0764/artfynd/A 60729-2025 artfynd.xlsx", "A 60729-2025")</f>
        <v/>
      </c>
      <c r="X50">
        <f>HYPERLINK("https://klasma.github.io/Logging_0764/kartor/A 60729-2025 karta.png", "A 60729-2025")</f>
        <v/>
      </c>
      <c r="Y50">
        <f>HYPERLINK("https://klasma.github.io/Logging_0764/kartor_geotiff/A 60729-2025 georefererad karta.tif", "A 60729-2025")</f>
        <v/>
      </c>
      <c r="AA50">
        <f>HYPERLINK("https://klasma.github.io/Logging_0764/klagomål/A 60729-2025 FSC-klagomål.docx", "A 60729-2025")</f>
        <v/>
      </c>
      <c r="AB50">
        <f>HYPERLINK("https://klasma.github.io/Logging_0764/klagomålsmail/A 60729-2025 FSC-klagomål mail.docx", "A 60729-2025")</f>
        <v/>
      </c>
      <c r="AC50">
        <f>HYPERLINK("https://klasma.github.io/Logging_0764/tillsyn/A 60729-2025 tillsynsbegäran.docx", "A 60729-2025")</f>
        <v/>
      </c>
      <c r="AD50">
        <f>HYPERLINK("https://klasma.github.io/Logging_0764/tillsynsmail/A 60729-2025 tillsynsbegäran mail.docx", "A 60729-2025")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46311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46311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46311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46311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46311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46311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46311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46311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46311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46311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46311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46311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46311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46311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46311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46311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46311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46311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46311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46311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46311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46311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46311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46311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46311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46311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46311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46311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46311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46311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46311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46311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46311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46311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46311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46311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46311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46311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46311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46311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46311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46311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46311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45518</v>
      </c>
      <c r="E95" s="1" t="n">
        <v>46311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46311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46311</v>
      </c>
      <c r="F97" t="inlineStr">
        <is>
          <t>KRONOBERGS LÄN</t>
        </is>
      </c>
      <c r="G97" t="inlineStr">
        <is>
          <t>ALVESTA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46311</v>
      </c>
      <c r="F98" t="inlineStr">
        <is>
          <t>KRONOBERGS LÄN</t>
        </is>
      </c>
      <c r="G98" t="inlineStr">
        <is>
          <t>ALVESTA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46311</v>
      </c>
      <c r="F99" t="inlineStr">
        <is>
          <t>KRONOBERGS LÄN</t>
        </is>
      </c>
      <c r="G99" t="inlineStr">
        <is>
          <t>ALVESTA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46311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46311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46311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46311</v>
      </c>
      <c r="F103" t="inlineStr">
        <is>
          <t>KRONOBERGS LÄN</t>
        </is>
      </c>
      <c r="G103" t="inlineStr">
        <is>
          <t>ALVESTA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46311</v>
      </c>
      <c r="F104" t="inlineStr">
        <is>
          <t>KRONOBERGS LÄN</t>
        </is>
      </c>
      <c r="G104" t="inlineStr">
        <is>
          <t>ALVESTA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46311</v>
      </c>
      <c r="F105" t="inlineStr">
        <is>
          <t>KRONOBERGS LÄN</t>
        </is>
      </c>
      <c r="G105" t="inlineStr">
        <is>
          <t>ALVESTA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45362</v>
      </c>
      <c r="E106" s="1" t="n">
        <v>46311</v>
      </c>
      <c r="F106" t="inlineStr">
        <is>
          <t>KRONOBERGS LÄN</t>
        </is>
      </c>
      <c r="G106" t="inlineStr">
        <is>
          <t>ALVESTA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46311</v>
      </c>
      <c r="F107" t="inlineStr">
        <is>
          <t>KRONOBERGS LÄN</t>
        </is>
      </c>
      <c r="G107" t="inlineStr">
        <is>
          <t>ALVESTA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6489-2022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44601</v>
      </c>
      <c r="E108" s="1" t="n">
        <v>46311</v>
      </c>
      <c r="F108" t="inlineStr">
        <is>
          <t>KRONOBERGS LÄN</t>
        </is>
      </c>
      <c r="G108" t="inlineStr">
        <is>
          <t>ALVESTA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44804</v>
      </c>
      <c r="E109" s="1" t="n">
        <v>46311</v>
      </c>
      <c r="F109" t="inlineStr">
        <is>
          <t>KRONOBERGS LÄN</t>
        </is>
      </c>
      <c r="G109" t="inlineStr">
        <is>
          <t>ALVESTA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46311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46311</v>
      </c>
      <c r="F111" t="inlineStr">
        <is>
          <t>KRONOBERGS LÄN</t>
        </is>
      </c>
      <c r="G111" t="inlineStr">
        <is>
          <t>ALVESTA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46311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46311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45476</v>
      </c>
      <c r="E114" s="1" t="n">
        <v>46311</v>
      </c>
      <c r="F114" t="inlineStr">
        <is>
          <t>KRONOBERGS LÄN</t>
        </is>
      </c>
      <c r="G114" t="inlineStr">
        <is>
          <t>ALVESTA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46311</v>
      </c>
      <c r="F115" t="inlineStr">
        <is>
          <t>KRONOBERGS LÄN</t>
        </is>
      </c>
      <c r="G115" t="inlineStr">
        <is>
          <t>ALVESTA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46311</v>
      </c>
      <c r="F116" t="inlineStr">
        <is>
          <t>KRONOBERGS LÄN</t>
        </is>
      </c>
      <c r="G116" t="inlineStr">
        <is>
          <t>ALVESTA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45329</v>
      </c>
      <c r="E117" s="1" t="n">
        <v>46311</v>
      </c>
      <c r="F117" t="inlineStr">
        <is>
          <t>KRONOBERGS LÄN</t>
        </is>
      </c>
      <c r="G117" t="inlineStr">
        <is>
          <t>ALVESTA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45771</v>
      </c>
      <c r="E118" s="1" t="n">
        <v>46311</v>
      </c>
      <c r="F118" t="inlineStr">
        <is>
          <t>KRONOBERGS LÄN</t>
        </is>
      </c>
      <c r="G118" t="inlineStr">
        <is>
          <t>ALVESTA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46311</v>
      </c>
      <c r="F119" t="inlineStr">
        <is>
          <t>KRONOBERGS LÄN</t>
        </is>
      </c>
      <c r="G119" t="inlineStr">
        <is>
          <t>ALVESTA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46311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46311</v>
      </c>
      <c r="F121" t="inlineStr">
        <is>
          <t>KRONOBERGS LÄN</t>
        </is>
      </c>
      <c r="G121" t="inlineStr">
        <is>
          <t>ALVESTA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45512</v>
      </c>
      <c r="E122" s="1" t="n">
        <v>46311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45532</v>
      </c>
      <c r="E123" s="1" t="n">
        <v>46311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46311</v>
      </c>
      <c r="F124" t="inlineStr">
        <is>
          <t>KRONOBERGS LÄN</t>
        </is>
      </c>
      <c r="G124" t="inlineStr">
        <is>
          <t>ALVESTA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46311</v>
      </c>
      <c r="F125" t="inlineStr">
        <is>
          <t>KRONOBERGS LÄN</t>
        </is>
      </c>
      <c r="G125" t="inlineStr">
        <is>
          <t>ALVESTA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46311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46311</v>
      </c>
      <c r="F127" t="inlineStr">
        <is>
          <t>KRONOBERGS LÄN</t>
        </is>
      </c>
      <c r="G127" t="inlineStr">
        <is>
          <t>ALVESTA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46311</v>
      </c>
      <c r="F128" t="inlineStr">
        <is>
          <t>KRONOBERGS LÄN</t>
        </is>
      </c>
      <c r="G128" t="inlineStr">
        <is>
          <t>ALVESTA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46311</v>
      </c>
      <c r="F129" t="inlineStr">
        <is>
          <t>KRONOBERGS LÄN</t>
        </is>
      </c>
      <c r="G129" t="inlineStr">
        <is>
          <t>ALVESTA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46311</v>
      </c>
      <c r="F130" t="inlineStr">
        <is>
          <t>KRONOBERGS LÄN</t>
        </is>
      </c>
      <c r="G130" t="inlineStr">
        <is>
          <t>ALVESTA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46311</v>
      </c>
      <c r="F131" t="inlineStr">
        <is>
          <t>KRONOBERGS LÄN</t>
        </is>
      </c>
      <c r="G131" t="inlineStr">
        <is>
          <t>ALVESTA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50733-2023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45217</v>
      </c>
      <c r="E132" s="1" t="n">
        <v>46311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46311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46311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46311</v>
      </c>
      <c r="F135" t="inlineStr">
        <is>
          <t>KRONOBERGS LÄN</t>
        </is>
      </c>
      <c r="G135" t="inlineStr">
        <is>
          <t>ALVESTA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46311</v>
      </c>
      <c r="F136" t="inlineStr">
        <is>
          <t>KRONOBERGS LÄN</t>
        </is>
      </c>
      <c r="G136" t="inlineStr">
        <is>
          <t>ALVESTA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46311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46311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44868</v>
      </c>
      <c r="E139" s="1" t="n">
        <v>46311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45136</v>
      </c>
      <c r="E140" s="1" t="n">
        <v>46311</v>
      </c>
      <c r="F140" t="inlineStr">
        <is>
          <t>KRONOBERGS LÄN</t>
        </is>
      </c>
      <c r="G140" t="inlineStr">
        <is>
          <t>ALVESTA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45128</v>
      </c>
      <c r="E141" s="1" t="n">
        <v>46311</v>
      </c>
      <c r="F141" t="inlineStr">
        <is>
          <t>KRONOBERGS LÄN</t>
        </is>
      </c>
      <c r="G141" t="inlineStr">
        <is>
          <t>ALVESTA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46311</v>
      </c>
      <c r="F142" t="inlineStr">
        <is>
          <t>KRONOBERGS LÄN</t>
        </is>
      </c>
      <c r="G142" t="inlineStr">
        <is>
          <t>ALVESTA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45359</v>
      </c>
      <c r="E143" s="1" t="n">
        <v>46311</v>
      </c>
      <c r="F143" t="inlineStr">
        <is>
          <t>KRONOBERGS LÄN</t>
        </is>
      </c>
      <c r="G143" t="inlineStr">
        <is>
          <t>ALVESTA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54966-2023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46311</v>
      </c>
      <c r="F144" t="inlineStr">
        <is>
          <t>KRONOBERGS LÄN</t>
        </is>
      </c>
      <c r="G144" t="inlineStr">
        <is>
          <t>ALVESTA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46311</v>
      </c>
      <c r="F145" t="inlineStr">
        <is>
          <t>KRONOBERGS LÄN</t>
        </is>
      </c>
      <c r="G145" t="inlineStr">
        <is>
          <t>ALVESTA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46311</v>
      </c>
      <c r="F146" t="inlineStr">
        <is>
          <t>KRONOBERGS LÄN</t>
        </is>
      </c>
      <c r="G146" t="inlineStr">
        <is>
          <t>ALVESTA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46311</v>
      </c>
      <c r="F147" t="inlineStr">
        <is>
          <t>KRONOBERGS LÄN</t>
        </is>
      </c>
      <c r="G147" t="inlineStr">
        <is>
          <t>ALVESTA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60478-2023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45259</v>
      </c>
      <c r="E148" s="1" t="n">
        <v>46311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44880</v>
      </c>
      <c r="E149" s="1" t="n">
        <v>46311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46311</v>
      </c>
      <c r="F150" t="inlineStr">
        <is>
          <t>KRONOBERGS LÄN</t>
        </is>
      </c>
      <c r="G150" t="inlineStr">
        <is>
          <t>ALVESTA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45384</v>
      </c>
      <c r="E151" s="1" t="n">
        <v>46311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46311</v>
      </c>
      <c r="F152" t="inlineStr">
        <is>
          <t>KRONOBERGS LÄN</t>
        </is>
      </c>
      <c r="G152" t="inlineStr">
        <is>
          <t>ALVESTA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46311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45128</v>
      </c>
      <c r="E154" s="1" t="n">
        <v>46311</v>
      </c>
      <c r="F154" t="inlineStr">
        <is>
          <t>KRONOBERGS LÄN</t>
        </is>
      </c>
      <c r="G154" t="inlineStr">
        <is>
          <t>ALVESTA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45407</v>
      </c>
      <c r="E155" s="1" t="n">
        <v>46311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45337</v>
      </c>
      <c r="E156" s="1" t="n">
        <v>46311</v>
      </c>
      <c r="F156" t="inlineStr">
        <is>
          <t>KRONOBERGS LÄN</t>
        </is>
      </c>
      <c r="G156" t="inlineStr">
        <is>
          <t>ALVESTA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46311</v>
      </c>
      <c r="F157" t="inlineStr">
        <is>
          <t>KRONOBERGS LÄN</t>
        </is>
      </c>
      <c r="G157" t="inlineStr">
        <is>
          <t>ALVESTA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44901</v>
      </c>
      <c r="E158" s="1" t="n">
        <v>46311</v>
      </c>
      <c r="F158" t="inlineStr">
        <is>
          <t>KRONOBERGS LÄN</t>
        </is>
      </c>
      <c r="G158" t="inlineStr">
        <is>
          <t>ALVESTA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46311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46311</v>
      </c>
      <c r="F160" t="inlineStr">
        <is>
          <t>KRONOBERGS LÄN</t>
        </is>
      </c>
      <c r="G160" t="inlineStr">
        <is>
          <t>ALVESTA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45555</v>
      </c>
      <c r="E161" s="1" t="n">
        <v>46311</v>
      </c>
      <c r="F161" t="inlineStr">
        <is>
          <t>KRONOBERGS LÄN</t>
        </is>
      </c>
      <c r="G161" t="inlineStr">
        <is>
          <t>ALVESTA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46311</v>
      </c>
      <c r="F162" t="inlineStr">
        <is>
          <t>KRONOBERGS LÄN</t>
        </is>
      </c>
      <c r="G162" t="inlineStr">
        <is>
          <t>ALVESTA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46311</v>
      </c>
      <c r="F163" t="inlineStr">
        <is>
          <t>KRONOBERGS LÄN</t>
        </is>
      </c>
      <c r="G163" t="inlineStr">
        <is>
          <t>ALVESTA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46311</v>
      </c>
      <c r="F164" t="inlineStr">
        <is>
          <t>KRONOBERGS LÄN</t>
        </is>
      </c>
      <c r="G164" t="inlineStr">
        <is>
          <t>ALVESTA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46311</v>
      </c>
      <c r="F165" t="inlineStr">
        <is>
          <t>KRONOBERGS LÄN</t>
        </is>
      </c>
      <c r="G165" t="inlineStr">
        <is>
          <t>ALVESTA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46311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46311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46311</v>
      </c>
      <c r="F168" t="inlineStr">
        <is>
          <t>KRONOBERGS LÄN</t>
        </is>
      </c>
      <c r="G168" t="inlineStr">
        <is>
          <t>ALVESTA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46311</v>
      </c>
      <c r="F169" t="inlineStr">
        <is>
          <t>KRONOBERGS LÄN</t>
        </is>
      </c>
      <c r="G169" t="inlineStr">
        <is>
          <t>ALVESTA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46311</v>
      </c>
      <c r="F170" t="inlineStr">
        <is>
          <t>KRONOBERGS LÄN</t>
        </is>
      </c>
      <c r="G170" t="inlineStr">
        <is>
          <t>ALVESTA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46311</v>
      </c>
      <c r="F171" t="inlineStr">
        <is>
          <t>KRONOBERGS LÄN</t>
        </is>
      </c>
      <c r="G171" t="inlineStr">
        <is>
          <t>ALVESTA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46311</v>
      </c>
      <c r="F172" t="inlineStr">
        <is>
          <t>KRONOBERGS LÄN</t>
        </is>
      </c>
      <c r="G172" t="inlineStr">
        <is>
          <t>ALVESTA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46311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45436</v>
      </c>
      <c r="E174" s="1" t="n">
        <v>46311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38875-2022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44816</v>
      </c>
      <c r="E175" s="1" t="n">
        <v>46311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46311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46311</v>
      </c>
      <c r="F177" t="inlineStr">
        <is>
          <t>KRONOBERGS LÄN</t>
        </is>
      </c>
      <c r="G177" t="inlineStr">
        <is>
          <t>ALVESTA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45015</v>
      </c>
      <c r="E178" s="1" t="n">
        <v>46311</v>
      </c>
      <c r="F178" t="inlineStr">
        <is>
          <t>KRONOBERGS LÄN</t>
        </is>
      </c>
      <c r="G178" t="inlineStr">
        <is>
          <t>ALVESTA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46311</v>
      </c>
      <c r="F179" t="inlineStr">
        <is>
          <t>KRONOBERGS LÄN</t>
        </is>
      </c>
      <c r="G179" t="inlineStr">
        <is>
          <t>ALVESTA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46311</v>
      </c>
      <c r="F180" t="inlineStr">
        <is>
          <t>KRONOBERGS LÄN</t>
        </is>
      </c>
      <c r="G180" t="inlineStr">
        <is>
          <t>ALVESTA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44907</v>
      </c>
      <c r="E181" s="1" t="n">
        <v>46311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46311</v>
      </c>
      <c r="F182" t="inlineStr">
        <is>
          <t>KRONOBERGS LÄN</t>
        </is>
      </c>
      <c r="G182" t="inlineStr">
        <is>
          <t>ALVESTA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45114</v>
      </c>
      <c r="E183" s="1" t="n">
        <v>46311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46311</v>
      </c>
      <c r="F184" t="inlineStr">
        <is>
          <t>KRONOBERGS LÄN</t>
        </is>
      </c>
      <c r="G184" t="inlineStr">
        <is>
          <t>ALVESTA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46311</v>
      </c>
      <c r="F185" t="inlineStr">
        <is>
          <t>KRONOBERGS LÄN</t>
        </is>
      </c>
      <c r="G185" t="inlineStr">
        <is>
          <t>ALVESTA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45320</v>
      </c>
      <c r="E186" s="1" t="n">
        <v>46311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45852</v>
      </c>
      <c r="E187" s="1" t="n">
        <v>46311</v>
      </c>
      <c r="F187" t="inlineStr">
        <is>
          <t>KRONOBERGS LÄN</t>
        </is>
      </c>
      <c r="G187" t="inlineStr">
        <is>
          <t>ALVESTA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46311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45436</v>
      </c>
      <c r="E189" s="1" t="n">
        <v>46311</v>
      </c>
      <c r="F189" t="inlineStr">
        <is>
          <t>KRONOBERGS LÄN</t>
        </is>
      </c>
      <c r="G189" t="inlineStr">
        <is>
          <t>ALVESTA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46311</v>
      </c>
      <c r="F190" t="inlineStr">
        <is>
          <t>KRONOBERGS LÄN</t>
        </is>
      </c>
      <c r="G190" t="inlineStr">
        <is>
          <t>ALVESTA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46311</v>
      </c>
      <c r="F191" t="inlineStr">
        <is>
          <t>KRONOBERGS LÄN</t>
        </is>
      </c>
      <c r="G191" t="inlineStr">
        <is>
          <t>ALVESTA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46311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45015</v>
      </c>
      <c r="E193" s="1" t="n">
        <v>46311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45593</v>
      </c>
      <c r="E194" s="1" t="n">
        <v>46311</v>
      </c>
      <c r="F194" t="inlineStr">
        <is>
          <t>KRONOBERGS LÄN</t>
        </is>
      </c>
      <c r="G194" t="inlineStr">
        <is>
          <t>ALVESTA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44504</v>
      </c>
      <c r="E195" s="1" t="n">
        <v>46311</v>
      </c>
      <c r="F195" t="inlineStr">
        <is>
          <t>KRONOBERGS LÄN</t>
        </is>
      </c>
      <c r="G195" t="inlineStr">
        <is>
          <t>ALVESTA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46311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46311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46311</v>
      </c>
      <c r="F198" t="inlineStr">
        <is>
          <t>KRONOBERGS LÄN</t>
        </is>
      </c>
      <c r="G198" t="inlineStr">
        <is>
          <t>ALVESTA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45868</v>
      </c>
      <c r="E199" s="1" t="n">
        <v>46311</v>
      </c>
      <c r="F199" t="inlineStr">
        <is>
          <t>KRONOBERGS LÄN</t>
        </is>
      </c>
      <c r="G199" t="inlineStr">
        <is>
          <t>ALVESTA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46311</v>
      </c>
      <c r="F200" t="inlineStr">
        <is>
          <t>KRONOBERGS LÄN</t>
        </is>
      </c>
      <c r="G200" t="inlineStr">
        <is>
          <t>ALVESTA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46311</v>
      </c>
      <c r="F201" t="inlineStr">
        <is>
          <t>KRONOBERGS LÄN</t>
        </is>
      </c>
      <c r="G201" t="inlineStr">
        <is>
          <t>ALVESTA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46311</v>
      </c>
      <c r="F202" t="inlineStr">
        <is>
          <t>KRONOBERGS LÄN</t>
        </is>
      </c>
      <c r="G202" t="inlineStr">
        <is>
          <t>ALVESTA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46311</v>
      </c>
      <c r="F203" t="inlineStr">
        <is>
          <t>KRONOBERGS LÄN</t>
        </is>
      </c>
      <c r="G203" t="inlineStr">
        <is>
          <t>ALVESTA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46311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46311</v>
      </c>
      <c r="F205" t="inlineStr">
        <is>
          <t>KRONOBERGS LÄN</t>
        </is>
      </c>
      <c r="G205" t="inlineStr">
        <is>
          <t>ALVESTA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44873</v>
      </c>
      <c r="E206" s="1" t="n">
        <v>46311</v>
      </c>
      <c r="F206" t="inlineStr">
        <is>
          <t>KRONOBERGS LÄN</t>
        </is>
      </c>
      <c r="G206" t="inlineStr">
        <is>
          <t>ALVESTA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45414</v>
      </c>
      <c r="E207" s="1" t="n">
        <v>46311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46311</v>
      </c>
      <c r="F208" t="inlineStr">
        <is>
          <t>KRONOBERGS LÄN</t>
        </is>
      </c>
      <c r="G208" t="inlineStr">
        <is>
          <t>ALVESTA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45305</v>
      </c>
      <c r="E209" s="1" t="n">
        <v>46311</v>
      </c>
      <c r="F209" t="inlineStr">
        <is>
          <t>KRONOBERGS LÄN</t>
        </is>
      </c>
      <c r="G209" t="inlineStr">
        <is>
          <t>ALVESTA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44925</v>
      </c>
      <c r="E210" s="1" t="n">
        <v>46311</v>
      </c>
      <c r="F210" t="inlineStr">
        <is>
          <t>KRONOBERGS LÄN</t>
        </is>
      </c>
      <c r="G210" t="inlineStr">
        <is>
          <t>ALVESTA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46311</v>
      </c>
      <c r="F211" t="inlineStr">
        <is>
          <t>KRONOBERGS LÄN</t>
        </is>
      </c>
      <c r="G211" t="inlineStr">
        <is>
          <t>ALVESTA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45518</v>
      </c>
      <c r="E212" s="1" t="n">
        <v>46311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45463</v>
      </c>
      <c r="E213" s="1" t="n">
        <v>46311</v>
      </c>
      <c r="F213" t="inlineStr">
        <is>
          <t>KRONOBERGS LÄN</t>
        </is>
      </c>
      <c r="G213" t="inlineStr">
        <is>
          <t>ALVESTA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43656-2023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46311</v>
      </c>
      <c r="F214" t="inlineStr">
        <is>
          <t>KRONOBERGS LÄN</t>
        </is>
      </c>
      <c r="G214" t="inlineStr">
        <is>
          <t>ALVESTA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46311</v>
      </c>
      <c r="F215" t="inlineStr">
        <is>
          <t>KRONOBERGS LÄN</t>
        </is>
      </c>
      <c r="G215" t="inlineStr">
        <is>
          <t>ALVESTA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46311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46311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46311</v>
      </c>
      <c r="F218" t="inlineStr">
        <is>
          <t>KRONOBERGS LÄN</t>
        </is>
      </c>
      <c r="G218" t="inlineStr">
        <is>
          <t>ALVESTA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46311</v>
      </c>
      <c r="F219" t="inlineStr">
        <is>
          <t>KRONOBERGS LÄN</t>
        </is>
      </c>
      <c r="G219" t="inlineStr">
        <is>
          <t>ALVESTA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44818-2024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45574</v>
      </c>
      <c r="E220" s="1" t="n">
        <v>46311</v>
      </c>
      <c r="F220" t="inlineStr">
        <is>
          <t>KRONOBERGS LÄN</t>
        </is>
      </c>
      <c r="G220" t="inlineStr">
        <is>
          <t>ALVESTA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46311</v>
      </c>
      <c r="F221" t="inlineStr">
        <is>
          <t>KRONOBERGS LÄN</t>
        </is>
      </c>
      <c r="G221" t="inlineStr">
        <is>
          <t>ALVESTA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46311</v>
      </c>
      <c r="F222" t="inlineStr">
        <is>
          <t>KRONOBERGS LÄN</t>
        </is>
      </c>
      <c r="G222" t="inlineStr">
        <is>
          <t>ALVESTA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9687-2024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45362</v>
      </c>
      <c r="E223" s="1" t="n">
        <v>46311</v>
      </c>
      <c r="F223" t="inlineStr">
        <is>
          <t>KRONOBERGS LÄN</t>
        </is>
      </c>
      <c r="G223" t="inlineStr">
        <is>
          <t>ALVESTA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46311</v>
      </c>
      <c r="F224" t="inlineStr">
        <is>
          <t>KRONOBERGS LÄN</t>
        </is>
      </c>
      <c r="G224" t="inlineStr">
        <is>
          <t>ALVESTA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45563</v>
      </c>
      <c r="E225" s="1" t="n">
        <v>46311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46311</v>
      </c>
      <c r="F226" t="inlineStr">
        <is>
          <t>KRONOBERGS LÄN</t>
        </is>
      </c>
      <c r="G226" t="inlineStr">
        <is>
          <t>ALVESTA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46311</v>
      </c>
      <c r="F227" t="inlineStr">
        <is>
          <t>KRONOBERGS LÄN</t>
        </is>
      </c>
      <c r="G227" t="inlineStr">
        <is>
          <t>ALVESTA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46311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46311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45418</v>
      </c>
      <c r="E230" s="1" t="n">
        <v>46311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45418</v>
      </c>
      <c r="E231" s="1" t="n">
        <v>46311</v>
      </c>
      <c r="F231" t="inlineStr">
        <is>
          <t>KRONOBERGS LÄN</t>
        </is>
      </c>
      <c r="G231" t="inlineStr">
        <is>
          <t>ALVESTA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46098</v>
      </c>
      <c r="E232" s="1" t="n">
        <v>46311</v>
      </c>
      <c r="F232" t="inlineStr">
        <is>
          <t>KRONOBERGS LÄN</t>
        </is>
      </c>
      <c r="G232" t="inlineStr">
        <is>
          <t>ALVESTA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46311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46311</v>
      </c>
      <c r="F234" t="inlineStr">
        <is>
          <t>KRONOBERGS LÄN</t>
        </is>
      </c>
      <c r="G234" t="inlineStr">
        <is>
          <t>ALVESTA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45447</v>
      </c>
      <c r="E235" s="1" t="n">
        <v>46311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46311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45548</v>
      </c>
      <c r="E237" s="1" t="n">
        <v>46311</v>
      </c>
      <c r="F237" t="inlineStr">
        <is>
          <t>KRONOBERGS LÄN</t>
        </is>
      </c>
      <c r="G237" t="inlineStr">
        <is>
          <t>ALVESTA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46311</v>
      </c>
      <c r="F238" t="inlineStr">
        <is>
          <t>KRONOBERGS LÄN</t>
        </is>
      </c>
      <c r="G238" t="inlineStr">
        <is>
          <t>ALVESTA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45524</v>
      </c>
      <c r="E239" s="1" t="n">
        <v>46311</v>
      </c>
      <c r="F239" t="inlineStr">
        <is>
          <t>KRONOBERGS LÄN</t>
        </is>
      </c>
      <c r="G239" t="inlineStr">
        <is>
          <t>ALVESTA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46311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45390</v>
      </c>
      <c r="E241" s="1" t="n">
        <v>46311</v>
      </c>
      <c r="F241" t="inlineStr">
        <is>
          <t>KRONOBERGS LÄN</t>
        </is>
      </c>
      <c r="G241" t="inlineStr">
        <is>
          <t>ALVESTA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46311</v>
      </c>
      <c r="F242" t="inlineStr">
        <is>
          <t>KRONOBERGS LÄN</t>
        </is>
      </c>
      <c r="G242" t="inlineStr">
        <is>
          <t>ALVESTA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46311</v>
      </c>
      <c r="F243" t="inlineStr">
        <is>
          <t>KRONOBERGS LÄN</t>
        </is>
      </c>
      <c r="G243" t="inlineStr">
        <is>
          <t>ALVESTA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45546</v>
      </c>
      <c r="E244" s="1" t="n">
        <v>46311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46311</v>
      </c>
      <c r="F245" t="inlineStr">
        <is>
          <t>KRONOBERGS LÄN</t>
        </is>
      </c>
      <c r="G245" t="inlineStr">
        <is>
          <t>ALVESTA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45342</v>
      </c>
      <c r="E246" s="1" t="n">
        <v>46311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46311</v>
      </c>
      <c r="F247" t="inlineStr">
        <is>
          <t>KRONOBERGS LÄN</t>
        </is>
      </c>
      <c r="G247" t="inlineStr">
        <is>
          <t>ALVESTA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46311</v>
      </c>
      <c r="F248" t="inlineStr">
        <is>
          <t>KRONOBERGS LÄN</t>
        </is>
      </c>
      <c r="G248" t="inlineStr">
        <is>
          <t>ALVESTA</t>
        </is>
      </c>
      <c r="H248" t="inlineStr">
        <is>
          <t>Kyrkan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44838</v>
      </c>
      <c r="E249" s="1" t="n">
        <v>46311</v>
      </c>
      <c r="F249" t="inlineStr">
        <is>
          <t>KRONOBERGS LÄN</t>
        </is>
      </c>
      <c r="G249" t="inlineStr">
        <is>
          <t>ALVESTA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46311</v>
      </c>
      <c r="F250" t="inlineStr">
        <is>
          <t>KRONOBERGS LÄN</t>
        </is>
      </c>
      <c r="G250" t="inlineStr">
        <is>
          <t>ALVESTA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46311</v>
      </c>
      <c r="F251" t="inlineStr">
        <is>
          <t>KRONOBERGS LÄN</t>
        </is>
      </c>
      <c r="G251" t="inlineStr">
        <is>
          <t>ALVESTA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45699</v>
      </c>
      <c r="E252" s="1" t="n">
        <v>46311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46311</v>
      </c>
      <c r="F253" t="inlineStr">
        <is>
          <t>KRONOBERGS LÄN</t>
        </is>
      </c>
      <c r="G253" t="inlineStr">
        <is>
          <t>ALVESTA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46311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44972</v>
      </c>
      <c r="E255" s="1" t="n">
        <v>46311</v>
      </c>
      <c r="F255" t="inlineStr">
        <is>
          <t>KRONOBERGS LÄN</t>
        </is>
      </c>
      <c r="G255" t="inlineStr">
        <is>
          <t>ALVESTA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45613</v>
      </c>
      <c r="E256" s="1" t="n">
        <v>46311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46311</v>
      </c>
      <c r="F257" t="inlineStr">
        <is>
          <t>KRONOBERGS LÄN</t>
        </is>
      </c>
      <c r="G257" t="inlineStr">
        <is>
          <t>ALVESTA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46311</v>
      </c>
      <c r="F258" t="inlineStr">
        <is>
          <t>KRONOBERGS LÄN</t>
        </is>
      </c>
      <c r="G258" t="inlineStr">
        <is>
          <t>ALVESTA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46311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17823-2026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46122</v>
      </c>
      <c r="E260" s="1" t="n">
        <v>46311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46311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46311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17801-2026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46122</v>
      </c>
      <c r="E263" s="1" t="n">
        <v>46311</v>
      </c>
      <c r="F263" t="inlineStr">
        <is>
          <t>KRONOBERGS LÄN</t>
        </is>
      </c>
      <c r="G263" t="inlineStr">
        <is>
          <t>ALVESTA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46311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46311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46311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45229</v>
      </c>
      <c r="E267" s="1" t="n">
        <v>46311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46311</v>
      </c>
      <c r="F268" t="inlineStr">
        <is>
          <t>KRONOBERGS LÄN</t>
        </is>
      </c>
      <c r="G268" t="inlineStr">
        <is>
          <t>ALVESTA</t>
        </is>
      </c>
      <c r="H268" t="inlineStr">
        <is>
          <t>Övriga Aktiebolag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45447</v>
      </c>
      <c r="E269" s="1" t="n">
        <v>46311</v>
      </c>
      <c r="F269" t="inlineStr">
        <is>
          <t>KRONOBERGS LÄN</t>
        </is>
      </c>
      <c r="G269" t="inlineStr">
        <is>
          <t>ALVESTA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46311</v>
      </c>
      <c r="F270" t="inlineStr">
        <is>
          <t>KRONOBERGS LÄN</t>
        </is>
      </c>
      <c r="G270" t="inlineStr">
        <is>
          <t>ALVESTA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46311</v>
      </c>
      <c r="F271" t="inlineStr">
        <is>
          <t>KRONOBERGS LÄN</t>
        </is>
      </c>
      <c r="G271" t="inlineStr">
        <is>
          <t>ALVESTA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760-2022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44569</v>
      </c>
      <c r="E272" s="1" t="n">
        <v>46311</v>
      </c>
      <c r="F272" t="inlineStr">
        <is>
          <t>KRONOBERGS LÄN</t>
        </is>
      </c>
      <c r="G272" t="inlineStr">
        <is>
          <t>ALVESTA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7287-2022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46311</v>
      </c>
      <c r="F273" t="inlineStr">
        <is>
          <t>KRONOBERGS LÄN</t>
        </is>
      </c>
      <c r="G273" t="inlineStr">
        <is>
          <t>ALVESTA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46311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12818-2025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45733</v>
      </c>
      <c r="E275" s="1" t="n">
        <v>46311</v>
      </c>
      <c r="F275" t="inlineStr">
        <is>
          <t>KRONOBERGS LÄN</t>
        </is>
      </c>
      <c r="G275" t="inlineStr">
        <is>
          <t>ALVESTA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46129</v>
      </c>
      <c r="E276" s="1" t="n">
        <v>46311</v>
      </c>
      <c r="F276" t="inlineStr">
        <is>
          <t>KRONOBERGS LÄN</t>
        </is>
      </c>
      <c r="G276" t="inlineStr">
        <is>
          <t>ALVESTA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46311</v>
      </c>
      <c r="F277" t="inlineStr">
        <is>
          <t>KRONOBERGS LÄN</t>
        </is>
      </c>
      <c r="G277" t="inlineStr">
        <is>
          <t>ALVESTA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46311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46311</v>
      </c>
      <c r="F279" t="inlineStr">
        <is>
          <t>KRONOBERGS LÄN</t>
        </is>
      </c>
      <c r="G279" t="inlineStr">
        <is>
          <t>ALVESTA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46311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46311</v>
      </c>
      <c r="F281" t="inlineStr">
        <is>
          <t>KRONOBERGS LÄN</t>
        </is>
      </c>
      <c r="G281" t="inlineStr">
        <is>
          <t>ALVESTA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45471</v>
      </c>
      <c r="E282" s="1" t="n">
        <v>46311</v>
      </c>
      <c r="F282" t="inlineStr">
        <is>
          <t>KRONOBERGS LÄN</t>
        </is>
      </c>
      <c r="G282" t="inlineStr">
        <is>
          <t>ALVESTA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46311</v>
      </c>
      <c r="F283" t="inlineStr">
        <is>
          <t>KRONOBERGS LÄN</t>
        </is>
      </c>
      <c r="G283" t="inlineStr">
        <is>
          <t>ALVESTA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52040-2024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45608</v>
      </c>
      <c r="E284" s="1" t="n">
        <v>46311</v>
      </c>
      <c r="F284" t="inlineStr">
        <is>
          <t>KRONOBERGS LÄN</t>
        </is>
      </c>
      <c r="G284" t="inlineStr">
        <is>
          <t>ALVESTA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45338</v>
      </c>
      <c r="E285" s="1" t="n">
        <v>46311</v>
      </c>
      <c r="F285" t="inlineStr">
        <is>
          <t>KRONOBERGS LÄN</t>
        </is>
      </c>
      <c r="G285" t="inlineStr">
        <is>
          <t>ALVESTA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45338</v>
      </c>
      <c r="E286" s="1" t="n">
        <v>46311</v>
      </c>
      <c r="F286" t="inlineStr">
        <is>
          <t>KRONOBERGS LÄN</t>
        </is>
      </c>
      <c r="G286" t="inlineStr">
        <is>
          <t>ALVESTA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45345</v>
      </c>
      <c r="E287" s="1" t="n">
        <v>46311</v>
      </c>
      <c r="F287" t="inlineStr">
        <is>
          <t>KRONOBERGS LÄN</t>
        </is>
      </c>
      <c r="G287" t="inlineStr">
        <is>
          <t>ALVESTA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46311</v>
      </c>
      <c r="F288" t="inlineStr">
        <is>
          <t>KRONOBERGS LÄN</t>
        </is>
      </c>
      <c r="G288" t="inlineStr">
        <is>
          <t>ALVESTA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46311</v>
      </c>
      <c r="F289" t="inlineStr">
        <is>
          <t>KRONOBERGS LÄN</t>
        </is>
      </c>
      <c r="G289" t="inlineStr">
        <is>
          <t>ALVESTA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45471</v>
      </c>
      <c r="E290" s="1" t="n">
        <v>46311</v>
      </c>
      <c r="F290" t="inlineStr">
        <is>
          <t>KRONOBERGS LÄN</t>
        </is>
      </c>
      <c r="G290" t="inlineStr">
        <is>
          <t>ALVESTA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67331-2021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44523</v>
      </c>
      <c r="E291" s="1" t="n">
        <v>46311</v>
      </c>
      <c r="F291" t="inlineStr">
        <is>
          <t>KRONOBERGS LÄN</t>
        </is>
      </c>
      <c r="G291" t="inlineStr">
        <is>
          <t>ALVESTA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46311</v>
      </c>
      <c r="F292" t="inlineStr">
        <is>
          <t>KRONOBERGS LÄN</t>
        </is>
      </c>
      <c r="G292" t="inlineStr">
        <is>
          <t>ALVESTA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46311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46311</v>
      </c>
      <c r="F294" t="inlineStr">
        <is>
          <t>KRONOBERGS LÄN</t>
        </is>
      </c>
      <c r="G294" t="inlineStr">
        <is>
          <t>ALVESTA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46311</v>
      </c>
      <c r="F295" t="inlineStr">
        <is>
          <t>KRONOBERGS LÄN</t>
        </is>
      </c>
      <c r="G295" t="inlineStr">
        <is>
          <t>ALVESTA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60487-2023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45259</v>
      </c>
      <c r="E296" s="1" t="n">
        <v>46311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46311</v>
      </c>
      <c r="F297" t="inlineStr">
        <is>
          <t>KRONOBERGS LÄN</t>
        </is>
      </c>
      <c r="G297" t="inlineStr">
        <is>
          <t>ALVESTA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46311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46311</v>
      </c>
      <c r="F299" t="inlineStr">
        <is>
          <t>KRONOBERGS LÄN</t>
        </is>
      </c>
      <c r="G299" t="inlineStr">
        <is>
          <t>ALVESTA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46311</v>
      </c>
      <c r="F300" t="inlineStr">
        <is>
          <t>KRONOBERGS LÄN</t>
        </is>
      </c>
      <c r="G300" t="inlineStr">
        <is>
          <t>ALVESTA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46311</v>
      </c>
      <c r="F301" t="inlineStr">
        <is>
          <t>KRONOBERGS LÄN</t>
        </is>
      </c>
      <c r="G301" t="inlineStr">
        <is>
          <t>ALVESTA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44783</v>
      </c>
      <c r="E302" s="1" t="n">
        <v>46311</v>
      </c>
      <c r="F302" t="inlineStr">
        <is>
          <t>KRONOBERGS LÄN</t>
        </is>
      </c>
      <c r="G302" t="inlineStr">
        <is>
          <t>ALVESTA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46311</v>
      </c>
      <c r="F303" t="inlineStr">
        <is>
          <t>KRONOBERGS LÄN</t>
        </is>
      </c>
      <c r="G303" t="inlineStr">
        <is>
          <t>ALVESTA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46311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46311</v>
      </c>
      <c r="F305" t="inlineStr">
        <is>
          <t>KRONOBERGS LÄN</t>
        </is>
      </c>
      <c r="G305" t="inlineStr">
        <is>
          <t>ALVESTA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46311</v>
      </c>
      <c r="F306" t="inlineStr">
        <is>
          <t>KRONOBERGS LÄN</t>
        </is>
      </c>
      <c r="G306" t="inlineStr">
        <is>
          <t>ALVESTA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45666</v>
      </c>
      <c r="E307" s="1" t="n">
        <v>46311</v>
      </c>
      <c r="F307" t="inlineStr">
        <is>
          <t>KRONOBERGS LÄN</t>
        </is>
      </c>
      <c r="G307" t="inlineStr">
        <is>
          <t>ALVESTA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46311</v>
      </c>
      <c r="F308" t="inlineStr">
        <is>
          <t>KRONOBERGS LÄN</t>
        </is>
      </c>
      <c r="G308" t="inlineStr">
        <is>
          <t>ALVESTA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46311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46311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45385</v>
      </c>
      <c r="E311" s="1" t="n">
        <v>46311</v>
      </c>
      <c r="F311" t="inlineStr">
        <is>
          <t>KRONOBERGS LÄN</t>
        </is>
      </c>
      <c r="G311" t="inlineStr">
        <is>
          <t>ALVESTA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45680</v>
      </c>
      <c r="E312" s="1" t="n">
        <v>46311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46311</v>
      </c>
      <c r="F313" t="inlineStr">
        <is>
          <t>KRONOBERGS LÄN</t>
        </is>
      </c>
      <c r="G313" t="inlineStr">
        <is>
          <t>ALVESTA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52082-2024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46311</v>
      </c>
      <c r="F314" t="inlineStr">
        <is>
          <t>KRONOBERGS LÄN</t>
        </is>
      </c>
      <c r="G314" t="inlineStr">
        <is>
          <t>ALVESTA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46311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46311</v>
      </c>
      <c r="F316" t="inlineStr">
        <is>
          <t>KRONOBERGS LÄN</t>
        </is>
      </c>
      <c r="G316" t="inlineStr">
        <is>
          <t>ALVESTA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46311</v>
      </c>
      <c r="F317" t="inlineStr">
        <is>
          <t>KRONOBERGS LÄN</t>
        </is>
      </c>
      <c r="G317" t="inlineStr">
        <is>
          <t>ALVESTA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45712</v>
      </c>
      <c r="E318" s="1" t="n">
        <v>46311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44735</v>
      </c>
      <c r="E319" s="1" t="n">
        <v>46311</v>
      </c>
      <c r="F319" t="inlineStr">
        <is>
          <t>KRONOBERGS LÄN</t>
        </is>
      </c>
      <c r="G319" t="inlineStr">
        <is>
          <t>ALVESTA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46311</v>
      </c>
      <c r="F320" t="inlineStr">
        <is>
          <t>KRONOBERGS LÄN</t>
        </is>
      </c>
      <c r="G320" t="inlineStr">
        <is>
          <t>ALVESTA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46311</v>
      </c>
      <c r="F321" t="inlineStr">
        <is>
          <t>KRONOBERGS LÄN</t>
        </is>
      </c>
      <c r="G321" t="inlineStr">
        <is>
          <t>ALVESTA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46311</v>
      </c>
      <c r="F322" t="inlineStr">
        <is>
          <t>KRONOBERGS LÄN</t>
        </is>
      </c>
      <c r="G322" t="inlineStr">
        <is>
          <t>ALVESTA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46311</v>
      </c>
      <c r="F323" t="inlineStr">
        <is>
          <t>KRONOBERGS LÄN</t>
        </is>
      </c>
      <c r="G323" t="inlineStr">
        <is>
          <t>ALVESTA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46311</v>
      </c>
      <c r="F324" t="inlineStr">
        <is>
          <t>KRONOBERGS LÄN</t>
        </is>
      </c>
      <c r="G324" t="inlineStr">
        <is>
          <t>ALVESTA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46311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45858</v>
      </c>
      <c r="E326" s="1" t="n">
        <v>46311</v>
      </c>
      <c r="F326" t="inlineStr">
        <is>
          <t>KRONOBERGS LÄN</t>
        </is>
      </c>
      <c r="G326" t="inlineStr">
        <is>
          <t>ALVESTA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46311</v>
      </c>
      <c r="F327" t="inlineStr">
        <is>
          <t>KRONOBERGS LÄN</t>
        </is>
      </c>
      <c r="G327" t="inlineStr">
        <is>
          <t>ALVESTA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45653</v>
      </c>
      <c r="E328" s="1" t="n">
        <v>46311</v>
      </c>
      <c r="F328" t="inlineStr">
        <is>
          <t>KRONOBERGS LÄN</t>
        </is>
      </c>
      <c r="G328" t="inlineStr">
        <is>
          <t>ALVESTA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46311</v>
      </c>
      <c r="F329" t="inlineStr">
        <is>
          <t>KRONOBERGS LÄN</t>
        </is>
      </c>
      <c r="G329" t="inlineStr">
        <is>
          <t>ALVESTA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46311</v>
      </c>
      <c r="F330" t="inlineStr">
        <is>
          <t>KRONOBERGS LÄN</t>
        </is>
      </c>
      <c r="G330" t="inlineStr">
        <is>
          <t>ALVESTA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45075</v>
      </c>
      <c r="E331" s="1" t="n">
        <v>46311</v>
      </c>
      <c r="F331" t="inlineStr">
        <is>
          <t>KRONOBERGS LÄN</t>
        </is>
      </c>
      <c r="G331" t="inlineStr">
        <is>
          <t>ALVESTA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44991</v>
      </c>
      <c r="E332" s="1" t="n">
        <v>46311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45079</v>
      </c>
      <c r="E333" s="1" t="n">
        <v>46311</v>
      </c>
      <c r="F333" t="inlineStr">
        <is>
          <t>KRONOBERGS LÄN</t>
        </is>
      </c>
      <c r="G333" t="inlineStr">
        <is>
          <t>ALVESTA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26225-2022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44735</v>
      </c>
      <c r="E334" s="1" t="n">
        <v>46311</v>
      </c>
      <c r="F334" t="inlineStr">
        <is>
          <t>KRONOBERGS LÄN</t>
        </is>
      </c>
      <c r="G334" t="inlineStr">
        <is>
          <t>ALVESTA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46311</v>
      </c>
      <c r="F335" t="inlineStr">
        <is>
          <t>KRONOBERGS LÄN</t>
        </is>
      </c>
      <c r="G335" t="inlineStr">
        <is>
          <t>ALVESTA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46311</v>
      </c>
      <c r="F336" t="inlineStr">
        <is>
          <t>KRONOBERGS LÄN</t>
        </is>
      </c>
      <c r="G336" t="inlineStr">
        <is>
          <t>ALVESTA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46311</v>
      </c>
      <c r="F337" t="inlineStr">
        <is>
          <t>KRONOBERGS LÄN</t>
        </is>
      </c>
      <c r="G337" t="inlineStr">
        <is>
          <t>ALVESTA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46311</v>
      </c>
      <c r="F338" t="inlineStr">
        <is>
          <t>KRONOBERGS LÄN</t>
        </is>
      </c>
      <c r="G338" t="inlineStr">
        <is>
          <t>ALVESTA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36862-2022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44805</v>
      </c>
      <c r="E339" s="1" t="n">
        <v>46311</v>
      </c>
      <c r="F339" t="inlineStr">
        <is>
          <t>KRONOBERGS LÄN</t>
        </is>
      </c>
      <c r="G339" t="inlineStr">
        <is>
          <t>ALVESTA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39263-2023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45166</v>
      </c>
      <c r="E340" s="1" t="n">
        <v>46311</v>
      </c>
      <c r="F340" t="inlineStr">
        <is>
          <t>KRONOBERGS LÄN</t>
        </is>
      </c>
      <c r="G340" t="inlineStr">
        <is>
          <t>ALVESTA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46311</v>
      </c>
      <c r="F341" t="inlineStr">
        <is>
          <t>KRONOBERGS LÄN</t>
        </is>
      </c>
      <c r="G341" t="inlineStr">
        <is>
          <t>ALVESTA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13126-2024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45385</v>
      </c>
      <c r="E342" s="1" t="n">
        <v>46311</v>
      </c>
      <c r="F342" t="inlineStr">
        <is>
          <t>KRONOBERGS LÄN</t>
        </is>
      </c>
      <c r="G342" t="inlineStr">
        <is>
          <t>ALVESTA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28336-2022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44747</v>
      </c>
      <c r="E343" s="1" t="n">
        <v>46311</v>
      </c>
      <c r="F343" t="inlineStr">
        <is>
          <t>KRONOBERGS LÄN</t>
        </is>
      </c>
      <c r="G343" t="inlineStr">
        <is>
          <t>ALVESTA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46311</v>
      </c>
      <c r="F344" t="inlineStr">
        <is>
          <t>KRONOBERGS LÄN</t>
        </is>
      </c>
      <c r="G344" t="inlineStr">
        <is>
          <t>ALVESTA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46311</v>
      </c>
      <c r="F345" t="inlineStr">
        <is>
          <t>KRONOBERGS LÄN</t>
        </is>
      </c>
      <c r="G345" t="inlineStr">
        <is>
          <t>ALVESTA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44743</v>
      </c>
      <c r="E346" s="1" t="n">
        <v>46311</v>
      </c>
      <c r="F346" t="inlineStr">
        <is>
          <t>KRONOBERGS LÄN</t>
        </is>
      </c>
      <c r="G346" t="inlineStr">
        <is>
          <t>ALVESTA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27731-2022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44743</v>
      </c>
      <c r="E347" s="1" t="n">
        <v>46311</v>
      </c>
      <c r="F347" t="inlineStr">
        <is>
          <t>KRONOBERGS LÄN</t>
        </is>
      </c>
      <c r="G347" t="inlineStr">
        <is>
          <t>ALVESTA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45153</v>
      </c>
      <c r="E348" s="1" t="n">
        <v>46311</v>
      </c>
      <c r="F348" t="inlineStr">
        <is>
          <t>KRONOBERGS LÄN</t>
        </is>
      </c>
      <c r="G348" t="inlineStr">
        <is>
          <t>ALVESTA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46311</v>
      </c>
      <c r="F349" t="inlineStr">
        <is>
          <t>KRONOBERGS LÄN</t>
        </is>
      </c>
      <c r="G349" t="inlineStr">
        <is>
          <t>ALVESTA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45614</v>
      </c>
      <c r="E350" s="1" t="n">
        <v>46311</v>
      </c>
      <c r="F350" t="inlineStr">
        <is>
          <t>KRONOBERGS LÄN</t>
        </is>
      </c>
      <c r="G350" t="inlineStr">
        <is>
          <t>ALVESTA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46311</v>
      </c>
      <c r="F351" t="inlineStr">
        <is>
          <t>KRONOBERGS LÄN</t>
        </is>
      </c>
      <c r="G351" t="inlineStr">
        <is>
          <t>ALVESTA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46311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44783</v>
      </c>
      <c r="E353" s="1" t="n">
        <v>46311</v>
      </c>
      <c r="F353" t="inlineStr">
        <is>
          <t>KRONOBERGS LÄN</t>
        </is>
      </c>
      <c r="G353" t="inlineStr">
        <is>
          <t>ALVESTA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45231</v>
      </c>
      <c r="E354" s="1" t="n">
        <v>46311</v>
      </c>
      <c r="F354" t="inlineStr">
        <is>
          <t>KRONOBERGS LÄN</t>
        </is>
      </c>
      <c r="G354" t="inlineStr">
        <is>
          <t>ALVESTA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46311</v>
      </c>
      <c r="F355" t="inlineStr">
        <is>
          <t>KRONOBERGS LÄN</t>
        </is>
      </c>
      <c r="G355" t="inlineStr">
        <is>
          <t>ALVESTA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45673</v>
      </c>
      <c r="E356" s="1" t="n">
        <v>46311</v>
      </c>
      <c r="F356" t="inlineStr">
        <is>
          <t>KRONOBERGS LÄN</t>
        </is>
      </c>
      <c r="G356" t="inlineStr">
        <is>
          <t>ALVESTA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45673</v>
      </c>
      <c r="E357" s="1" t="n">
        <v>46311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46311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45664</v>
      </c>
      <c r="E359" s="1" t="n">
        <v>46311</v>
      </c>
      <c r="F359" t="inlineStr">
        <is>
          <t>KRONOBERGS LÄN</t>
        </is>
      </c>
      <c r="G359" t="inlineStr">
        <is>
          <t>ALVESTA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58648-2024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45635</v>
      </c>
      <c r="E360" s="1" t="n">
        <v>46311</v>
      </c>
      <c r="F360" t="inlineStr">
        <is>
          <t>KRONOBERGS LÄN</t>
        </is>
      </c>
      <c r="G360" t="inlineStr">
        <is>
          <t>ALVESTA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46311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45005</v>
      </c>
      <c r="E362" s="1" t="n">
        <v>46311</v>
      </c>
      <c r="F362" t="inlineStr">
        <is>
          <t>KRONOBERGS LÄN</t>
        </is>
      </c>
      <c r="G362" t="inlineStr">
        <is>
          <t>ALVESTA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45288</v>
      </c>
      <c r="E363" s="1" t="n">
        <v>46311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46311</v>
      </c>
      <c r="F364" t="inlineStr">
        <is>
          <t>KRONOBERGS LÄN</t>
        </is>
      </c>
      <c r="G364" t="inlineStr">
        <is>
          <t>ALVESTA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46311</v>
      </c>
      <c r="F365" t="inlineStr">
        <is>
          <t>KRONOBERGS LÄN</t>
        </is>
      </c>
      <c r="G365" t="inlineStr">
        <is>
          <t>ALVESTA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46311</v>
      </c>
      <c r="F366" t="inlineStr">
        <is>
          <t>KRONOBERGS LÄN</t>
        </is>
      </c>
      <c r="G366" t="inlineStr">
        <is>
          <t>ALVESTA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46311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45644</v>
      </c>
      <c r="E368" s="1" t="n">
        <v>46311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45149</v>
      </c>
      <c r="E369" s="1" t="n">
        <v>46311</v>
      </c>
      <c r="F369" t="inlineStr">
        <is>
          <t>KRONOBERGS LÄN</t>
        </is>
      </c>
      <c r="G369" t="inlineStr">
        <is>
          <t>ALVESTA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39258-2023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46311</v>
      </c>
      <c r="F370" t="inlineStr">
        <is>
          <t>KRONOBERGS LÄN</t>
        </is>
      </c>
      <c r="G370" t="inlineStr">
        <is>
          <t>ALVESTA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32978-2023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46311</v>
      </c>
      <c r="F371" t="inlineStr">
        <is>
          <t>KRONOBERGS LÄN</t>
        </is>
      </c>
      <c r="G371" t="inlineStr">
        <is>
          <t>ALVESTA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45135</v>
      </c>
      <c r="E372" s="1" t="n">
        <v>46311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46311</v>
      </c>
      <c r="F373" t="inlineStr">
        <is>
          <t>KRONOBERGS LÄN</t>
        </is>
      </c>
      <c r="G373" t="inlineStr">
        <is>
          <t>ALVESTA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45476</v>
      </c>
      <c r="E374" s="1" t="n">
        <v>46311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45217</v>
      </c>
      <c r="E375" s="1" t="n">
        <v>46311</v>
      </c>
      <c r="F375" t="inlineStr">
        <is>
          <t>KRONOBERGS LÄN</t>
        </is>
      </c>
      <c r="G375" t="inlineStr">
        <is>
          <t>ALVESTA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46311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44528-2025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45916</v>
      </c>
      <c r="E377" s="1" t="n">
        <v>46311</v>
      </c>
      <c r="F377" t="inlineStr">
        <is>
          <t>KRONOBERGS LÄN</t>
        </is>
      </c>
      <c r="G377" t="inlineStr">
        <is>
          <t>ALVESTA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45336</v>
      </c>
      <c r="E378" s="1" t="n">
        <v>46311</v>
      </c>
      <c r="F378" t="inlineStr">
        <is>
          <t>KRONOBERGS LÄN</t>
        </is>
      </c>
      <c r="G378" t="inlineStr">
        <is>
          <t>ALVESTA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46311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46311</v>
      </c>
      <c r="F380" t="inlineStr">
        <is>
          <t>KRONOBERGS LÄN</t>
        </is>
      </c>
      <c r="G380" t="inlineStr">
        <is>
          <t>ALVESTA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45362</v>
      </c>
      <c r="E381" s="1" t="n">
        <v>46311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46311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45092</v>
      </c>
      <c r="E383" s="1" t="n">
        <v>46311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45917</v>
      </c>
      <c r="E384" s="1" t="n">
        <v>46311</v>
      </c>
      <c r="F384" t="inlineStr">
        <is>
          <t>KRONOBERGS LÄN</t>
        </is>
      </c>
      <c r="G384" t="inlineStr">
        <is>
          <t>ALVESTA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45330</v>
      </c>
      <c r="E385" s="1" t="n">
        <v>46311</v>
      </c>
      <c r="F385" t="inlineStr">
        <is>
          <t>KRONOBERGS LÄN</t>
        </is>
      </c>
      <c r="G385" t="inlineStr">
        <is>
          <t>ALVESTA</t>
        </is>
      </c>
      <c r="H385" t="inlineStr">
        <is>
          <t>Övriga Aktiebolag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44670</v>
      </c>
      <c r="E386" s="1" t="n">
        <v>46311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45959</v>
      </c>
      <c r="E387" s="1" t="n">
        <v>46311</v>
      </c>
      <c r="F387" t="inlineStr">
        <is>
          <t>KRONOBERGS LÄN</t>
        </is>
      </c>
      <c r="G387" t="inlineStr">
        <is>
          <t>ALVESTA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45854</v>
      </c>
      <c r="E388" s="1" t="n">
        <v>46311</v>
      </c>
      <c r="F388" t="inlineStr">
        <is>
          <t>KRONOBERGS LÄN</t>
        </is>
      </c>
      <c r="G388" t="inlineStr">
        <is>
          <t>ALVESTA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46311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45896</v>
      </c>
      <c r="E390" s="1" t="n">
        <v>46311</v>
      </c>
      <c r="F390" t="inlineStr">
        <is>
          <t>KRONOBERGS LÄN</t>
        </is>
      </c>
      <c r="G390" t="inlineStr">
        <is>
          <t>ALVESTA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25261-2024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45462</v>
      </c>
      <c r="E391" s="1" t="n">
        <v>46311</v>
      </c>
      <c r="F391" t="inlineStr">
        <is>
          <t>KRONOBERGS LÄN</t>
        </is>
      </c>
      <c r="G391" t="inlineStr">
        <is>
          <t>ALVESTA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46311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46311</v>
      </c>
      <c r="F393" t="inlineStr">
        <is>
          <t>KRONOBERGS LÄN</t>
        </is>
      </c>
      <c r="G393" t="inlineStr">
        <is>
          <t>ALVESTA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46311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46311</v>
      </c>
      <c r="F395" t="inlineStr">
        <is>
          <t>KRONOBERGS LÄN</t>
        </is>
      </c>
      <c r="G395" t="inlineStr">
        <is>
          <t>ALVESTA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46311</v>
      </c>
      <c r="F396" t="inlineStr">
        <is>
          <t>KRONOBERGS LÄN</t>
        </is>
      </c>
      <c r="G396" t="inlineStr">
        <is>
          <t>ALVESTA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39307-2023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46311</v>
      </c>
      <c r="F397" t="inlineStr">
        <is>
          <t>KRONOBERGS LÄN</t>
        </is>
      </c>
      <c r="G397" t="inlineStr">
        <is>
          <t>ALVESTA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45860</v>
      </c>
      <c r="E398" s="1" t="n">
        <v>46311</v>
      </c>
      <c r="F398" t="inlineStr">
        <is>
          <t>KRONOBERGS LÄN</t>
        </is>
      </c>
      <c r="G398" t="inlineStr">
        <is>
          <t>ALVESTA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46311</v>
      </c>
      <c r="F399" t="inlineStr">
        <is>
          <t>KRONOBERGS LÄN</t>
        </is>
      </c>
      <c r="G399" t="inlineStr">
        <is>
          <t>ALVESTA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46311</v>
      </c>
      <c r="F400" t="inlineStr">
        <is>
          <t>KRONOBERGS LÄN</t>
        </is>
      </c>
      <c r="G400" t="inlineStr">
        <is>
          <t>ALVESTA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45136</v>
      </c>
      <c r="E401" s="1" t="n">
        <v>46311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45216</v>
      </c>
      <c r="E402" s="1" t="n">
        <v>46311</v>
      </c>
      <c r="F402" t="inlineStr">
        <is>
          <t>KRONOBERGS LÄN</t>
        </is>
      </c>
      <c r="G402" t="inlineStr">
        <is>
          <t>ALVESTA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46311</v>
      </c>
      <c r="F403" t="inlineStr">
        <is>
          <t>KRONOBERGS LÄN</t>
        </is>
      </c>
      <c r="G403" t="inlineStr">
        <is>
          <t>ALVESTA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46311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49407-2024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45595</v>
      </c>
      <c r="E405" s="1" t="n">
        <v>46311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45338</v>
      </c>
      <c r="E406" s="1" t="n">
        <v>46311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45926</v>
      </c>
      <c r="E407" s="1" t="n">
        <v>46311</v>
      </c>
      <c r="F407" t="inlineStr">
        <is>
          <t>KRONOBERGS LÄN</t>
        </is>
      </c>
      <c r="G407" t="inlineStr">
        <is>
          <t>ALVESTA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46311</v>
      </c>
      <c r="F408" t="inlineStr">
        <is>
          <t>KRONOBERGS LÄN</t>
        </is>
      </c>
      <c r="G408" t="inlineStr">
        <is>
          <t>ALVESTA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24420-2026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46169</v>
      </c>
      <c r="E409" s="1" t="n">
        <v>46311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45180</v>
      </c>
      <c r="E410" s="1" t="n">
        <v>46311</v>
      </c>
      <c r="F410" t="inlineStr">
        <is>
          <t>KRONOBERGS LÄN</t>
        </is>
      </c>
      <c r="G410" t="inlineStr">
        <is>
          <t>ALVESTA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24419-2026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46169</v>
      </c>
      <c r="E411" s="1" t="n">
        <v>46311</v>
      </c>
      <c r="F411" t="inlineStr">
        <is>
          <t>KRONOBERGS LÄN</t>
        </is>
      </c>
      <c r="G411" t="inlineStr">
        <is>
          <t>ALVESTA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46311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24692-2026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46171</v>
      </c>
      <c r="E413" s="1" t="n">
        <v>46311</v>
      </c>
      <c r="F413" t="inlineStr">
        <is>
          <t>KRONOBERGS LÄN</t>
        </is>
      </c>
      <c r="G413" t="inlineStr">
        <is>
          <t>ALVESTA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46311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46311</v>
      </c>
      <c r="F415" t="inlineStr">
        <is>
          <t>KRONOBERGS LÄN</t>
        </is>
      </c>
      <c r="G415" t="inlineStr">
        <is>
          <t>ALVESTA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46311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38899-2024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45547</v>
      </c>
      <c r="E417" s="1" t="n">
        <v>46311</v>
      </c>
      <c r="F417" t="inlineStr">
        <is>
          <t>KRONOBERGS LÄN</t>
        </is>
      </c>
      <c r="G417" t="inlineStr">
        <is>
          <t>ALVESTA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46311</v>
      </c>
      <c r="F418" t="inlineStr">
        <is>
          <t>KRONOBERGS LÄN</t>
        </is>
      </c>
      <c r="G418" t="inlineStr">
        <is>
          <t>ALVESTA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45929</v>
      </c>
      <c r="E419" s="1" t="n">
        <v>46311</v>
      </c>
      <c r="F419" t="inlineStr">
        <is>
          <t>KRONOBERGS LÄN</t>
        </is>
      </c>
      <c r="G419" t="inlineStr">
        <is>
          <t>ALVESTA</t>
        </is>
      </c>
      <c r="H419" t="inlineStr">
        <is>
          <t>Kommuner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45929</v>
      </c>
      <c r="E420" s="1" t="n">
        <v>46311</v>
      </c>
      <c r="F420" t="inlineStr">
        <is>
          <t>KRONOBERGS LÄN</t>
        </is>
      </c>
      <c r="G420" t="inlineStr">
        <is>
          <t>ALVESTA</t>
        </is>
      </c>
      <c r="H420" t="inlineStr">
        <is>
          <t>Kommuner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45532</v>
      </c>
      <c r="E421" s="1" t="n">
        <v>46311</v>
      </c>
      <c r="F421" t="inlineStr">
        <is>
          <t>KRONOBERGS LÄN</t>
        </is>
      </c>
      <c r="G421" t="inlineStr">
        <is>
          <t>ALVESTA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46311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46311</v>
      </c>
      <c r="F423" t="inlineStr">
        <is>
          <t>KRONOBERGS LÄN</t>
        </is>
      </c>
      <c r="G423" t="inlineStr">
        <is>
          <t>ALVESTA</t>
        </is>
      </c>
      <c r="H423" t="inlineStr">
        <is>
          <t>Kommuner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11912-2022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44635</v>
      </c>
      <c r="E424" s="1" t="n">
        <v>46311</v>
      </c>
      <c r="F424" t="inlineStr">
        <is>
          <t>KRONOBERGS LÄN</t>
        </is>
      </c>
      <c r="G424" t="inlineStr">
        <is>
          <t>ALVESTA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46311</v>
      </c>
      <c r="F425" t="inlineStr">
        <is>
          <t>KRONOBERGS LÄN</t>
        </is>
      </c>
      <c r="G425" t="inlineStr">
        <is>
          <t>ALVESTA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46311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46311</v>
      </c>
      <c r="F427" t="inlineStr">
        <is>
          <t>KRONOBERGS LÄN</t>
        </is>
      </c>
      <c r="G427" t="inlineStr">
        <is>
          <t>ALVESTA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44935</v>
      </c>
      <c r="E428" s="1" t="n">
        <v>46311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45336</v>
      </c>
      <c r="E429" s="1" t="n">
        <v>46311</v>
      </c>
      <c r="F429" t="inlineStr">
        <is>
          <t>KRONOBERGS LÄN</t>
        </is>
      </c>
      <c r="G429" t="inlineStr">
        <is>
          <t>ALVESTA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46311</v>
      </c>
      <c r="F430" t="inlineStr">
        <is>
          <t>KRONOBERGS LÄN</t>
        </is>
      </c>
      <c r="G430" t="inlineStr">
        <is>
          <t>ALVESTA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46311</v>
      </c>
      <c r="F431" t="inlineStr">
        <is>
          <t>KRONOBERGS LÄN</t>
        </is>
      </c>
      <c r="G431" t="inlineStr">
        <is>
          <t>ALVESTA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46311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6479-2022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44601</v>
      </c>
      <c r="E433" s="1" t="n">
        <v>46311</v>
      </c>
      <c r="F433" t="inlineStr">
        <is>
          <t>KRONOBERGS LÄN</t>
        </is>
      </c>
      <c r="G433" t="inlineStr">
        <is>
          <t>ALVESTA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46311</v>
      </c>
      <c r="F434" t="inlineStr">
        <is>
          <t>KRONOBERGS LÄN</t>
        </is>
      </c>
      <c r="G434" t="inlineStr">
        <is>
          <t>ALVESTA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27032-2026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46185</v>
      </c>
      <c r="E435" s="1" t="n">
        <v>46311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27077-2026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46186</v>
      </c>
      <c r="E436" s="1" t="n">
        <v>46311</v>
      </c>
      <c r="F436" t="inlineStr">
        <is>
          <t>KRONOBERGS LÄN</t>
        </is>
      </c>
      <c r="G436" t="inlineStr">
        <is>
          <t>ALVESTA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46311</v>
      </c>
      <c r="F437" t="inlineStr">
        <is>
          <t>KRONOBERGS LÄN</t>
        </is>
      </c>
      <c r="G437" t="inlineStr">
        <is>
          <t>ALVESTA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72318-2021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44545</v>
      </c>
      <c r="E438" s="1" t="n">
        <v>46311</v>
      </c>
      <c r="F438" t="inlineStr">
        <is>
          <t>KRONOBERGS LÄN</t>
        </is>
      </c>
      <c r="G438" t="inlineStr">
        <is>
          <t>ALVESTA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46311</v>
      </c>
      <c r="F439" t="inlineStr">
        <is>
          <t>KRONOBERGS LÄN</t>
        </is>
      </c>
      <c r="G439" t="inlineStr">
        <is>
          <t>ALVESTA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44948</v>
      </c>
      <c r="E440" s="1" t="n">
        <v>46311</v>
      </c>
      <c r="F440" t="inlineStr">
        <is>
          <t>KRONOBERGS LÄN</t>
        </is>
      </c>
      <c r="G440" t="inlineStr">
        <is>
          <t>ALVESTA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46311</v>
      </c>
      <c r="F441" t="inlineStr">
        <is>
          <t>KRONOBERGS LÄN</t>
        </is>
      </c>
      <c r="G441" t="inlineStr">
        <is>
          <t>ALVESTA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14969-2022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44657</v>
      </c>
      <c r="E442" s="1" t="n">
        <v>46311</v>
      </c>
      <c r="F442" t="inlineStr">
        <is>
          <t>KRONOBERGS LÄN</t>
        </is>
      </c>
      <c r="G442" t="inlineStr">
        <is>
          <t>ALVESTA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45385</v>
      </c>
      <c r="E443" s="1" t="n">
        <v>46311</v>
      </c>
      <c r="F443" t="inlineStr">
        <is>
          <t>KRONOBERGS LÄN</t>
        </is>
      </c>
      <c r="G443" t="inlineStr">
        <is>
          <t>ALVESTA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46311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8803-2024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45356</v>
      </c>
      <c r="E445" s="1" t="n">
        <v>46311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46311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20616-2024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45436</v>
      </c>
      <c r="E447" s="1" t="n">
        <v>46311</v>
      </c>
      <c r="F447" t="inlineStr">
        <is>
          <t>KRONOBERGS LÄN</t>
        </is>
      </c>
      <c r="G447" t="inlineStr">
        <is>
          <t>ALVESTA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39634-2025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46311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46311</v>
      </c>
      <c r="F449" t="inlineStr">
        <is>
          <t>KRONOBERGS LÄN</t>
        </is>
      </c>
      <c r="G449" t="inlineStr">
        <is>
          <t>ALVESTA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57118-2023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45245</v>
      </c>
      <c r="E450" s="1" t="n">
        <v>46311</v>
      </c>
      <c r="F450" t="inlineStr">
        <is>
          <t>KRONOBERGS LÄN</t>
        </is>
      </c>
      <c r="G450" t="inlineStr">
        <is>
          <t>ALVESTA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44935</v>
      </c>
      <c r="E451" s="1" t="n">
        <v>46311</v>
      </c>
      <c r="F451" t="inlineStr">
        <is>
          <t>KRONOBERGS LÄN</t>
        </is>
      </c>
      <c r="G451" t="inlineStr">
        <is>
          <t>ALVESTA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46311</v>
      </c>
      <c r="F452" t="inlineStr">
        <is>
          <t>KRONOBERGS LÄN</t>
        </is>
      </c>
      <c r="G452" t="inlineStr">
        <is>
          <t>ALVESTA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46311</v>
      </c>
      <c r="F453" t="inlineStr">
        <is>
          <t>KRONOBERGS LÄN</t>
        </is>
      </c>
      <c r="G453" t="inlineStr">
        <is>
          <t>ALVESTA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46311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60760-2022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44914</v>
      </c>
      <c r="E455" s="1" t="n">
        <v>46311</v>
      </c>
      <c r="F455" t="inlineStr">
        <is>
          <t>KRONOBERGS LÄN</t>
        </is>
      </c>
      <c r="G455" t="inlineStr">
        <is>
          <t>ALVESTA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3118-2025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45678</v>
      </c>
      <c r="E456" s="1" t="n">
        <v>46311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49602-2024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45596</v>
      </c>
      <c r="E457" s="1" t="n">
        <v>46311</v>
      </c>
      <c r="F457" t="inlineStr">
        <is>
          <t>KRONOBERGS LÄN</t>
        </is>
      </c>
      <c r="G457" t="inlineStr">
        <is>
          <t>ALVESTA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45005</v>
      </c>
      <c r="E458" s="1" t="n">
        <v>46311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45196</v>
      </c>
      <c r="E459" s="1" t="n">
        <v>46311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18646-2022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44687</v>
      </c>
      <c r="E460" s="1" t="n">
        <v>46311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46311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46311</v>
      </c>
      <c r="F462" t="inlineStr">
        <is>
          <t>KRONOBERGS LÄN</t>
        </is>
      </c>
      <c r="G462" t="inlineStr">
        <is>
          <t>ALVESTA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45146</v>
      </c>
      <c r="E463" s="1" t="n">
        <v>46311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44978</v>
      </c>
      <c r="E464" s="1" t="n">
        <v>46311</v>
      </c>
      <c r="F464" t="inlineStr">
        <is>
          <t>KRONOBERGS LÄN</t>
        </is>
      </c>
      <c r="G464" t="inlineStr">
        <is>
          <t>ALVESTA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65092-2023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45288</v>
      </c>
      <c r="E465" s="1" t="n">
        <v>46311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45478</v>
      </c>
      <c r="E466" s="1" t="n">
        <v>46311</v>
      </c>
      <c r="F466" t="inlineStr">
        <is>
          <t>KRONOBERGS LÄN</t>
        </is>
      </c>
      <c r="G466" t="inlineStr">
        <is>
          <t>ALVESTA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46311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46311</v>
      </c>
      <c r="F468" t="inlineStr">
        <is>
          <t>KRONOBERGS LÄN</t>
        </is>
      </c>
      <c r="G468" t="inlineStr">
        <is>
          <t>ALVESTA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46311</v>
      </c>
      <c r="F469" t="inlineStr">
        <is>
          <t>KRONOBERGS LÄN</t>
        </is>
      </c>
      <c r="G469" t="inlineStr">
        <is>
          <t>ALVESTA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46311</v>
      </c>
      <c r="F470" t="inlineStr">
        <is>
          <t>KRONOBERGS LÄN</t>
        </is>
      </c>
      <c r="G470" t="inlineStr">
        <is>
          <t>ALVESTA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46311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46311</v>
      </c>
      <c r="F472" t="inlineStr">
        <is>
          <t>KRONOBERGS LÄN</t>
        </is>
      </c>
      <c r="G472" t="inlineStr">
        <is>
          <t>ALVESTA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16301-2024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45407</v>
      </c>
      <c r="E473" s="1" t="n">
        <v>46311</v>
      </c>
      <c r="F473" t="inlineStr">
        <is>
          <t>KRONOBERGS LÄN</t>
        </is>
      </c>
      <c r="G473" t="inlineStr">
        <is>
          <t>ALVESTA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52557-2025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45954</v>
      </c>
      <c r="E474" s="1" t="n">
        <v>46311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45673</v>
      </c>
      <c r="E475" s="1" t="n">
        <v>46311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7887-2025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45706</v>
      </c>
      <c r="E476" s="1" t="n">
        <v>46311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29579-2022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44754</v>
      </c>
      <c r="E477" s="1" t="n">
        <v>46311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46311</v>
      </c>
      <c r="F478" t="inlineStr">
        <is>
          <t>KRONOBERGS LÄN</t>
        </is>
      </c>
      <c r="G478" t="inlineStr">
        <is>
          <t>ALVESTA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46311</v>
      </c>
      <c r="F479" t="inlineStr">
        <is>
          <t>KRONOBERGS LÄN</t>
        </is>
      </c>
      <c r="G479" t="inlineStr">
        <is>
          <t>ALVESTA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45128</v>
      </c>
      <c r="E480" s="1" t="n">
        <v>46311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46311</v>
      </c>
      <c r="F481" t="inlineStr">
        <is>
          <t>KRONOBERGS LÄN</t>
        </is>
      </c>
      <c r="G481" t="inlineStr">
        <is>
          <t>ALVESTA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46311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46311</v>
      </c>
      <c r="F483" t="inlineStr">
        <is>
          <t>KRONOBERGS LÄN</t>
        </is>
      </c>
      <c r="G483" t="inlineStr">
        <is>
          <t>ALVESTA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45169</v>
      </c>
      <c r="E484" s="1" t="n">
        <v>46311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46269</v>
      </c>
      <c r="E485" s="1" t="n">
        <v>46311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44998</v>
      </c>
      <c r="E486" s="1" t="n">
        <v>46311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46273</v>
      </c>
      <c r="E487" s="1" t="n">
        <v>46311</v>
      </c>
      <c r="F487" t="inlineStr">
        <is>
          <t>KRONOBERGS LÄN</t>
        </is>
      </c>
      <c r="G487" t="inlineStr">
        <is>
          <t>ALVESTA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46273</v>
      </c>
      <c r="E488" s="1" t="n">
        <v>46311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54404-2025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45965</v>
      </c>
      <c r="E489" s="1" t="n">
        <v>46311</v>
      </c>
      <c r="F489" t="inlineStr">
        <is>
          <t>KRONOBERGS LÄN</t>
        </is>
      </c>
      <c r="G489" t="inlineStr">
        <is>
          <t>ALVESTA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45089</v>
      </c>
      <c r="E490" s="1" t="n">
        <v>46311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37095-2026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46274</v>
      </c>
      <c r="E491" s="1" t="n">
        <v>46311</v>
      </c>
      <c r="F491" t="inlineStr">
        <is>
          <t>KRONOBERGS LÄN</t>
        </is>
      </c>
      <c r="G491" t="inlineStr">
        <is>
          <t>ALVESTA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45965</v>
      </c>
      <c r="E492" s="1" t="n">
        <v>46311</v>
      </c>
      <c r="F492" t="inlineStr">
        <is>
          <t>KRONOBERGS LÄN</t>
        </is>
      </c>
      <c r="G492" t="inlineStr">
        <is>
          <t>ALVESTA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46311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46273</v>
      </c>
      <c r="E494" s="1" t="n">
        <v>46311</v>
      </c>
      <c r="F494" t="inlineStr">
        <is>
          <t>KRONOBERGS LÄN</t>
        </is>
      </c>
      <c r="G494" t="inlineStr">
        <is>
          <t>ALVESTA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46311</v>
      </c>
      <c r="F495" t="inlineStr">
        <is>
          <t>KRONOBERGS LÄN</t>
        </is>
      </c>
      <c r="G495" t="inlineStr">
        <is>
          <t>ALVESTA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45708</v>
      </c>
      <c r="E496" s="1" t="n">
        <v>46311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46311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45336</v>
      </c>
      <c r="E498" s="1" t="n">
        <v>46311</v>
      </c>
      <c r="F498" t="inlineStr">
        <is>
          <t>KRONOBERGS LÄN</t>
        </is>
      </c>
      <c r="G498" t="inlineStr">
        <is>
          <t>ALVESTA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46311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4722-2024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46311</v>
      </c>
      <c r="F500" t="inlineStr">
        <is>
          <t>KRONOBERGS LÄN</t>
        </is>
      </c>
      <c r="G500" t="inlineStr">
        <is>
          <t>ALVESTA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45055</v>
      </c>
      <c r="E501" s="1" t="n">
        <v>46311</v>
      </c>
      <c r="F501" t="inlineStr">
        <is>
          <t>KRONOBERGS LÄN</t>
        </is>
      </c>
      <c r="G501" t="inlineStr">
        <is>
          <t>ALVESTA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46311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58641-2024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45635</v>
      </c>
      <c r="E503" s="1" t="n">
        <v>46311</v>
      </c>
      <c r="F503" t="inlineStr">
        <is>
          <t>KRONOBERGS LÄN</t>
        </is>
      </c>
      <c r="G503" t="inlineStr">
        <is>
          <t>ALVESTA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45032</v>
      </c>
      <c r="E504" s="1" t="n">
        <v>46311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46279</v>
      </c>
      <c r="E505" s="1" t="n">
        <v>46311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46311</v>
      </c>
      <c r="F506" t="inlineStr">
        <is>
          <t>KRONOBERGS LÄN</t>
        </is>
      </c>
      <c r="G506" t="inlineStr">
        <is>
          <t>ALVESTA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46281</v>
      </c>
      <c r="E507" s="1" t="n">
        <v>46311</v>
      </c>
      <c r="F507" t="inlineStr">
        <is>
          <t>KRONOBERGS LÄN</t>
        </is>
      </c>
      <c r="G507" t="inlineStr">
        <is>
          <t>ALVESTA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46238</v>
      </c>
      <c r="E508" s="1" t="n">
        <v>46311</v>
      </c>
      <c r="F508" t="inlineStr">
        <is>
          <t>KRONOBERGS LÄN</t>
        </is>
      </c>
      <c r="G508" t="inlineStr">
        <is>
          <t>ALVESTA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46311</v>
      </c>
      <c r="F509" t="inlineStr">
        <is>
          <t>KRONOBERGS LÄN</t>
        </is>
      </c>
      <c r="G509" t="inlineStr">
        <is>
          <t>ALVESTA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31855-2023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45106</v>
      </c>
      <c r="E510" s="1" t="n">
        <v>46311</v>
      </c>
      <c r="F510" t="inlineStr">
        <is>
          <t>KRONOBERGS LÄN</t>
        </is>
      </c>
      <c r="G510" t="inlineStr">
        <is>
          <t>ALVESTA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46311</v>
      </c>
      <c r="F511" t="inlineStr">
        <is>
          <t>KRONOBERGS LÄN</t>
        </is>
      </c>
      <c r="G511" t="inlineStr">
        <is>
          <t>ALVESTA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45362</v>
      </c>
      <c r="E512" s="1" t="n">
        <v>46311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60559-2022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44911</v>
      </c>
      <c r="E513" s="1" t="n">
        <v>46311</v>
      </c>
      <c r="F513" t="inlineStr">
        <is>
          <t>KRONOBERGS LÄN</t>
        </is>
      </c>
      <c r="G513" t="inlineStr">
        <is>
          <t>ALVESTA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45308</v>
      </c>
      <c r="E514" s="1" t="n">
        <v>46311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46311</v>
      </c>
      <c r="F515" t="inlineStr">
        <is>
          <t>KRONOBERGS LÄN</t>
        </is>
      </c>
      <c r="G515" t="inlineStr">
        <is>
          <t>ALVESTA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46311</v>
      </c>
      <c r="F516" t="inlineStr">
        <is>
          <t>KRONOBERGS LÄN</t>
        </is>
      </c>
      <c r="G516" t="inlineStr">
        <is>
          <t>ALVESTA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44978</v>
      </c>
      <c r="E517" s="1" t="n">
        <v>46311</v>
      </c>
      <c r="F517" t="inlineStr">
        <is>
          <t>KRONOBERGS LÄN</t>
        </is>
      </c>
      <c r="G517" t="inlineStr">
        <is>
          <t>ALVESTA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11618-2023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46311</v>
      </c>
      <c r="F518" t="inlineStr">
        <is>
          <t>KRONOBERGS LÄN</t>
        </is>
      </c>
      <c r="G518" t="inlineStr">
        <is>
          <t>ALVESTA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46311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46311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46311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46311</v>
      </c>
      <c r="F522" t="inlineStr">
        <is>
          <t>KRONOBERGS LÄN</t>
        </is>
      </c>
      <c r="G522" t="inlineStr">
        <is>
          <t>ALVESTA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46286</v>
      </c>
      <c r="E523" s="1" t="n">
        <v>46311</v>
      </c>
      <c r="F523" t="inlineStr">
        <is>
          <t>KRONOBERGS LÄN</t>
        </is>
      </c>
      <c r="G523" t="inlineStr">
        <is>
          <t>ALVESTA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56775-2025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46311</v>
      </c>
      <c r="F524" t="inlineStr">
        <is>
          <t>KRONOBERGS LÄN</t>
        </is>
      </c>
      <c r="G524" t="inlineStr">
        <is>
          <t>ALVESTA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46311</v>
      </c>
      <c r="F525" t="inlineStr">
        <is>
          <t>KRONOBERGS LÄN</t>
        </is>
      </c>
      <c r="G525" t="inlineStr">
        <is>
          <t>ALVESTA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46311</v>
      </c>
      <c r="F526" t="inlineStr">
        <is>
          <t>KRONOBERGS LÄN</t>
        </is>
      </c>
      <c r="G526" t="inlineStr">
        <is>
          <t>ALVESTA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56793-2025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45978</v>
      </c>
      <c r="E527" s="1" t="n">
        <v>46311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46311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46311</v>
      </c>
      <c r="F529" t="inlineStr">
        <is>
          <t>KRONOBERGS LÄN</t>
        </is>
      </c>
      <c r="G529" t="inlineStr">
        <is>
          <t>ALVESTA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46311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46311</v>
      </c>
      <c r="F531" t="inlineStr">
        <is>
          <t>KRONOBERGS LÄN</t>
        </is>
      </c>
      <c r="G531" t="inlineStr">
        <is>
          <t>ALVESTA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46311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46286</v>
      </c>
      <c r="E533" s="1" t="n">
        <v>46311</v>
      </c>
      <c r="F533" t="inlineStr">
        <is>
          <t>KRONOBERGS LÄN</t>
        </is>
      </c>
      <c r="G533" t="inlineStr">
        <is>
          <t>ALVESTA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46286</v>
      </c>
      <c r="E534" s="1" t="n">
        <v>46311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35224-2024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45530</v>
      </c>
      <c r="E535" s="1" t="n">
        <v>46311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12260-2023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44998</v>
      </c>
      <c r="E536" s="1" t="n">
        <v>46311</v>
      </c>
      <c r="F536" t="inlineStr">
        <is>
          <t>KRONOBERGS LÄN</t>
        </is>
      </c>
      <c r="G536" t="inlineStr">
        <is>
          <t>ALVESTA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46311</v>
      </c>
      <c r="F537" t="inlineStr">
        <is>
          <t>KRONOBERGS LÄN</t>
        </is>
      </c>
      <c r="G537" t="inlineStr">
        <is>
          <t>ALVESTA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46311</v>
      </c>
      <c r="F538" t="inlineStr">
        <is>
          <t>KRONOBERGS LÄN</t>
        </is>
      </c>
      <c r="G538" t="inlineStr">
        <is>
          <t>ALVESTA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57307-2025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46311</v>
      </c>
      <c r="F539" t="inlineStr">
        <is>
          <t>KRONOBERGS LÄN</t>
        </is>
      </c>
      <c r="G539" t="inlineStr">
        <is>
          <t>ALVESTA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45358</v>
      </c>
      <c r="E540" s="1" t="n">
        <v>46311</v>
      </c>
      <c r="F540" t="inlineStr">
        <is>
          <t>KRONOBERGS LÄN</t>
        </is>
      </c>
      <c r="G540" t="inlineStr">
        <is>
          <t>ALVESTA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44958</v>
      </c>
      <c r="E541" s="1" t="n">
        <v>46311</v>
      </c>
      <c r="F541" t="inlineStr">
        <is>
          <t>KRONOBERGS LÄN</t>
        </is>
      </c>
      <c r="G541" t="inlineStr">
        <is>
          <t>ALVESTA</t>
        </is>
      </c>
      <c r="H541" t="inlineStr">
        <is>
          <t>Kommuner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46311</v>
      </c>
      <c r="F542" t="inlineStr">
        <is>
          <t>KRONOBERGS LÄN</t>
        </is>
      </c>
      <c r="G542" t="inlineStr">
        <is>
          <t>ALVESTA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46311</v>
      </c>
      <c r="F543" t="inlineStr">
        <is>
          <t>KRONOBERGS LÄN</t>
        </is>
      </c>
      <c r="G543" t="inlineStr">
        <is>
          <t>ALVESTA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46311</v>
      </c>
      <c r="F544" t="inlineStr">
        <is>
          <t>KRONOBERGS LÄN</t>
        </is>
      </c>
      <c r="G544" t="inlineStr">
        <is>
          <t>ALVESTA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46311</v>
      </c>
      <c r="F545" t="inlineStr">
        <is>
          <t>KRONOBERGS LÄN</t>
        </is>
      </c>
      <c r="G545" t="inlineStr">
        <is>
          <t>ALVESTA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58604-2025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45986</v>
      </c>
      <c r="E546" s="1" t="n">
        <v>46311</v>
      </c>
      <c r="F546" t="inlineStr">
        <is>
          <t>KRONOBERGS LÄN</t>
        </is>
      </c>
      <c r="G546" t="inlineStr">
        <is>
          <t>ALVESTA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46311</v>
      </c>
      <c r="F547" t="inlineStr">
        <is>
          <t>KRONOBERGS LÄN</t>
        </is>
      </c>
      <c r="G547" t="inlineStr">
        <is>
          <t>ALVESTA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45986</v>
      </c>
      <c r="E548" s="1" t="n">
        <v>46311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38385-2022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44812</v>
      </c>
      <c r="E549" s="1" t="n">
        <v>46311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46311</v>
      </c>
      <c r="F550" t="inlineStr">
        <is>
          <t>KRONOBERGS LÄN</t>
        </is>
      </c>
      <c r="G550" t="inlineStr">
        <is>
          <t>ALVESTA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45551</v>
      </c>
      <c r="E551" s="1" t="n">
        <v>46311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46290</v>
      </c>
      <c r="E552" s="1" t="n">
        <v>46311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46311</v>
      </c>
      <c r="F553" t="inlineStr">
        <is>
          <t>KRONOBERGS LÄN</t>
        </is>
      </c>
      <c r="G553" t="inlineStr">
        <is>
          <t>ALVESTA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46311</v>
      </c>
      <c r="F554" t="inlineStr">
        <is>
          <t>KRONOBERGS LÄN</t>
        </is>
      </c>
      <c r="G554" t="inlineStr">
        <is>
          <t>ALVESTA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33290-2026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46311</v>
      </c>
      <c r="F555" t="inlineStr">
        <is>
          <t>KRONOBERGS LÄN</t>
        </is>
      </c>
      <c r="G555" t="inlineStr">
        <is>
          <t>ALVESTA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46311</v>
      </c>
      <c r="F556" t="inlineStr">
        <is>
          <t>KRONOBERGS LÄN</t>
        </is>
      </c>
      <c r="G556" t="inlineStr">
        <is>
          <t>ALVESTA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46311</v>
      </c>
      <c r="F557" t="inlineStr">
        <is>
          <t>KRONOBERGS LÄN</t>
        </is>
      </c>
      <c r="G557" t="inlineStr">
        <is>
          <t>ALVESTA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46311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45700</v>
      </c>
      <c r="E559" s="1" t="n">
        <v>46311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46311</v>
      </c>
      <c r="F560" t="inlineStr">
        <is>
          <t>KRONOBERGS LÄN</t>
        </is>
      </c>
      <c r="G560" t="inlineStr">
        <is>
          <t>ALVESTA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40065-2026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46311</v>
      </c>
      <c r="F561" t="inlineStr">
        <is>
          <t>KRONOBERGS LÄN</t>
        </is>
      </c>
      <c r="G561" t="inlineStr">
        <is>
          <t>ALVESTA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60700-2025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45996</v>
      </c>
      <c r="E562" s="1" t="n">
        <v>46311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40836-2026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46296</v>
      </c>
      <c r="E563" s="1" t="n">
        <v>46311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16376-2024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45407</v>
      </c>
      <c r="E564" s="1" t="n">
        <v>46311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46311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46311</v>
      </c>
      <c r="F566" t="inlineStr">
        <is>
          <t>KRONOBERGS LÄN</t>
        </is>
      </c>
      <c r="G566" t="inlineStr">
        <is>
          <t>ALVESTA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46297</v>
      </c>
      <c r="E567" s="1" t="n">
        <v>46311</v>
      </c>
      <c r="F567" t="inlineStr">
        <is>
          <t>KRONOBERGS LÄN</t>
        </is>
      </c>
      <c r="G567" t="inlineStr">
        <is>
          <t>ALVESTA</t>
        </is>
      </c>
      <c r="H567" t="inlineStr">
        <is>
          <t>Övriga Aktiebolag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45440</v>
      </c>
      <c r="E568" s="1" t="n">
        <v>46311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45790</v>
      </c>
      <c r="E569" s="1" t="n">
        <v>46311</v>
      </c>
      <c r="F569" t="inlineStr">
        <is>
          <t>KRONOBERGS LÄN</t>
        </is>
      </c>
      <c r="G569" t="inlineStr">
        <is>
          <t>ALVESTA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59340-2025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45989</v>
      </c>
      <c r="E570" s="1" t="n">
        <v>46311</v>
      </c>
      <c r="F570" t="inlineStr">
        <is>
          <t>KRONOBERGS LÄN</t>
        </is>
      </c>
      <c r="G570" t="inlineStr">
        <is>
          <t>ALVESTA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24090-2024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45456</v>
      </c>
      <c r="E571" s="1" t="n">
        <v>46311</v>
      </c>
      <c r="F571" t="inlineStr">
        <is>
          <t>KRONOBERGS LÄN</t>
        </is>
      </c>
      <c r="G571" t="inlineStr">
        <is>
          <t>ALVESTA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45705</v>
      </c>
      <c r="E572" s="1" t="n">
        <v>46311</v>
      </c>
      <c r="F572" t="inlineStr">
        <is>
          <t>KRONOBERGS LÄN</t>
        </is>
      </c>
      <c r="G572" t="inlineStr">
        <is>
          <t>ALVESTA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63413-2025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46013</v>
      </c>
      <c r="E573" s="1" t="n">
        <v>46311</v>
      </c>
      <c r="F573" t="inlineStr">
        <is>
          <t>KRONOBERGS LÄN</t>
        </is>
      </c>
      <c r="G573" t="inlineStr">
        <is>
          <t>ALVESTA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45363</v>
      </c>
      <c r="E574" s="1" t="n">
        <v>46311</v>
      </c>
      <c r="F574" t="inlineStr">
        <is>
          <t>KRONOBERGS LÄN</t>
        </is>
      </c>
      <c r="G574" t="inlineStr">
        <is>
          <t>ALVESTA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45341</v>
      </c>
      <c r="E575" s="1" t="n">
        <v>46311</v>
      </c>
      <c r="F575" t="inlineStr">
        <is>
          <t>KRONOBERGS LÄN</t>
        </is>
      </c>
      <c r="G575" t="inlineStr">
        <is>
          <t>ALVESTA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51274-2025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45949</v>
      </c>
      <c r="E576" s="1" t="n">
        <v>46311</v>
      </c>
      <c r="F576" t="inlineStr">
        <is>
          <t>KRONOBERGS LÄN</t>
        </is>
      </c>
      <c r="G576" t="inlineStr">
        <is>
          <t>ALVESTA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41054-2026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46300</v>
      </c>
      <c r="E577" s="1" t="n">
        <v>46311</v>
      </c>
      <c r="F577" t="inlineStr">
        <is>
          <t>KRONOBERGS LÄN</t>
        </is>
      </c>
      <c r="G577" t="inlineStr">
        <is>
          <t>ALVESTA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37940-2024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46311</v>
      </c>
      <c r="F578" t="inlineStr">
        <is>
          <t>KRONOBERGS LÄN</t>
        </is>
      </c>
      <c r="G578" t="inlineStr">
        <is>
          <t>ALVESTA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25220-2025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45798</v>
      </c>
      <c r="E579" s="1" t="n">
        <v>46311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41689-2026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46302</v>
      </c>
      <c r="E580" s="1" t="n">
        <v>46311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46311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15063-2023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45015</v>
      </c>
      <c r="E582" s="1" t="n">
        <v>46311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17737-2024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46311</v>
      </c>
      <c r="F583" t="inlineStr">
        <is>
          <t>KRONOBERGS LÄN</t>
        </is>
      </c>
      <c r="G583" t="inlineStr">
        <is>
          <t>ALVESTA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45391</v>
      </c>
      <c r="E584" s="1" t="n">
        <v>46311</v>
      </c>
      <c r="F584" t="inlineStr">
        <is>
          <t>KRONOBERGS LÄN</t>
        </is>
      </c>
      <c r="G584" t="inlineStr">
        <is>
          <t>ALVESTA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59052-2021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44490</v>
      </c>
      <c r="E585" s="1" t="n">
        <v>46311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46311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46303</v>
      </c>
      <c r="E587" s="1" t="n">
        <v>46311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46304</v>
      </c>
      <c r="E588" s="1" t="n">
        <v>46311</v>
      </c>
      <c r="F588" t="inlineStr">
        <is>
          <t>KRONOBERGS LÄN</t>
        </is>
      </c>
      <c r="G588" t="inlineStr">
        <is>
          <t>ALVESTA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46311</v>
      </c>
      <c r="F589" t="inlineStr">
        <is>
          <t>KRONOBERGS LÄN</t>
        </is>
      </c>
      <c r="G589" t="inlineStr">
        <is>
          <t>ALVESTA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46303</v>
      </c>
      <c r="E590" s="1" t="n">
        <v>46311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46311</v>
      </c>
      <c r="F591" t="inlineStr">
        <is>
          <t>KRONOBERGS LÄN</t>
        </is>
      </c>
      <c r="G591" t="inlineStr">
        <is>
          <t>ALVESTA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12804-2026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46311</v>
      </c>
      <c r="F592" t="inlineStr">
        <is>
          <t>KRONOBERGS LÄN</t>
        </is>
      </c>
      <c r="G592" t="inlineStr">
        <is>
          <t>ALVESTA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46311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46311</v>
      </c>
      <c r="F594" t="inlineStr">
        <is>
          <t>KRONOBERGS LÄN</t>
        </is>
      </c>
      <c r="G594" t="inlineStr">
        <is>
          <t>ALVESTA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46311</v>
      </c>
      <c r="F595" t="inlineStr">
        <is>
          <t>KRONOBERGS LÄN</t>
        </is>
      </c>
      <c r="G595" t="inlineStr">
        <is>
          <t>ALVESTA</t>
        </is>
      </c>
      <c r="H595" t="inlineStr">
        <is>
          <t>Kyrkan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42697-2026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46309</v>
      </c>
      <c r="E596" s="1" t="n">
        <v>46311</v>
      </c>
      <c r="F596" t="inlineStr">
        <is>
          <t>KRONOBERGS LÄN</t>
        </is>
      </c>
      <c r="G596" t="inlineStr">
        <is>
          <t>ALVESTA</t>
        </is>
      </c>
      <c r="H596" t="inlineStr">
        <is>
          <t>Kommuner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46058</v>
      </c>
      <c r="E597" s="1" t="n">
        <v>46311</v>
      </c>
      <c r="F597" t="inlineStr">
        <is>
          <t>KRONOBERGS LÄN</t>
        </is>
      </c>
      <c r="G597" t="inlineStr">
        <is>
          <t>ALVESTA</t>
        </is>
      </c>
      <c r="I597" t="n">
        <v>9.6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7993-2026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46311</v>
      </c>
      <c r="F598" t="inlineStr">
        <is>
          <t>KRONOBERGS LÄN</t>
        </is>
      </c>
      <c r="G598" t="inlineStr">
        <is>
          <t>ALVESTA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8320-2026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46311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46311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11331-2026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46081</v>
      </c>
      <c r="E601" s="1" t="n">
        <v>46311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46311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11601-2026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46084</v>
      </c>
      <c r="E603" s="1" t="n">
        <v>46311</v>
      </c>
      <c r="F603" t="inlineStr">
        <is>
          <t>KRONOBERGS LÄN</t>
        </is>
      </c>
      <c r="G603" t="inlineStr">
        <is>
          <t>ALVESTA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12258-2026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46087</v>
      </c>
      <c r="E604" s="1" t="n">
        <v>46311</v>
      </c>
      <c r="F604" t="inlineStr">
        <is>
          <t>KRONOBERGS LÄN</t>
        </is>
      </c>
      <c r="G604" t="inlineStr">
        <is>
          <t>ALVESTA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46311</v>
      </c>
      <c r="F605" t="inlineStr">
        <is>
          <t>KRONOBERGS LÄN</t>
        </is>
      </c>
      <c r="G605" t="inlineStr">
        <is>
          <t>ALVESTA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46311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46311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46311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46311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46311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46311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46311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46311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46311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46311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46311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46311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46311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46311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46311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46311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46311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46311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46311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46311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46311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46311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46311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46311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46311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46311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46311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46311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46311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46311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46311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46311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46311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46311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2026-10-16T02:15:51Z</dcterms:created>
  <dcterms:modified xmlns:dcterms="http://purl.org/dc/terms/" xmlns:xsi="http://www.w3.org/2001/XMLSchema-instance" xsi:type="dcterms:W3CDTF">2026-10-16T02:15:52Z</dcterms:modified>
</cp:coreProperties>
</file>