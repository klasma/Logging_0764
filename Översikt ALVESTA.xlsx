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46289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46289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46289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46289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46289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46289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46289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28740-2024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45478</v>
      </c>
      <c r="E24" s="1" t="n">
        <v>46289</v>
      </c>
      <c r="F24" t="inlineStr">
        <is>
          <t>KRONOBERGS LÄN</t>
        </is>
      </c>
      <c r="G24" t="inlineStr">
        <is>
          <t>ALVESTA</t>
        </is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Västlig hakmossa
Revlummer</t>
        </is>
      </c>
      <c r="W24">
        <f>HYPERLINK("https://klasma.github.io/Logging_0764/artfynd/A 28740-2024 artfynd.xlsx", "A 28740-2024")</f>
        <v/>
      </c>
      <c r="X24">
        <f>HYPERLINK("https://klasma.github.io/Logging_0764/kartor/A 28740-2024 karta.png", "A 28740-2024")</f>
        <v/>
      </c>
      <c r="Y24">
        <f>HYPERLINK("https://klasma.github.io/Logging_0764/kartor_geotiff/A 28740-2024 georefererad karta.tif", "A 28740-2024")</f>
        <v/>
      </c>
      <c r="AA24">
        <f>HYPERLINK("https://klasma.github.io/Logging_0764/klagomål/A 28740-2024 FSC-klagomål.docx", "A 28740-2024")</f>
        <v/>
      </c>
      <c r="AB24">
        <f>HYPERLINK("https://klasma.github.io/Logging_0764/klagomålsmail/A 28740-2024 FSC-klagomål mail.docx", "A 28740-2024")</f>
        <v/>
      </c>
      <c r="AC24">
        <f>HYPERLINK("https://klasma.github.io/Logging_0764/tillsyn/A 28740-2024 tillsynsbegäran.docx", "A 28740-2024")</f>
        <v/>
      </c>
      <c r="AD24">
        <f>HYPERLINK("https://klasma.github.io/Logging_0764/tillsynsmail/A 28740-2024 tillsynsbegäran mail.docx", "A 28740-2024")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46289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46289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46289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46289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46289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46289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46289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46289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46289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46289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46289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46289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1811-2025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45670</v>
      </c>
      <c r="E37" s="1" t="n">
        <v>46289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Spillkråka</t>
        </is>
      </c>
      <c r="W37">
        <f>HYPERLINK("https://klasma.github.io/Logging_0764/artfynd/A 1811-2025 artfynd.xlsx", "A 1811-2025")</f>
        <v/>
      </c>
      <c r="X37">
        <f>HYPERLINK("https://klasma.github.io/Logging_0764/kartor/A 1811-2025 karta.png", "A 1811-2025")</f>
        <v/>
      </c>
      <c r="Y37">
        <f>HYPERLINK("https://klasma.github.io/Logging_0764/kartor_geotiff/A 1811-2025 georefererad karta.tif", "A 1811-2025")</f>
        <v/>
      </c>
      <c r="AA37">
        <f>HYPERLINK("https://klasma.github.io/Logging_0764/klagomål/A 1811-2025 FSC-klagomål.docx", "A 1811-2025")</f>
        <v/>
      </c>
      <c r="AB37">
        <f>HYPERLINK("https://klasma.github.io/Logging_0764/klagomålsmail/A 1811-2025 FSC-klagomål mail.docx", "A 1811-2025")</f>
        <v/>
      </c>
      <c r="AC37">
        <f>HYPERLINK("https://klasma.github.io/Logging_0764/tillsyn/A 1811-2025 tillsynsbegäran.docx", "A 1811-2025")</f>
        <v/>
      </c>
      <c r="AD37">
        <f>HYPERLINK("https://klasma.github.io/Logging_0764/tillsynsmail/A 1811-2025 tillsynsbegäran mail.docx", "A 1811-2025")</f>
        <v/>
      </c>
      <c r="AE37">
        <f>HYPERLINK("https://klasma.github.io/Logging_0764/fåglar/A 1811-2025 prioriterade fågelarter.docx", "A 1811-2025")</f>
        <v/>
      </c>
    </row>
    <row r="38" ht="15" customHeight="1">
      <c r="A38" t="inlineStr">
        <is>
          <t>A 12221-2024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46289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Brandticka</t>
        </is>
      </c>
      <c r="W38">
        <f>HYPERLINK("https://klasma.github.io/Logging_0764/artfynd/A 12221-2024 artfynd.xlsx", "A 12221-2024")</f>
        <v/>
      </c>
      <c r="X38">
        <f>HYPERLINK("https://klasma.github.io/Logging_0764/kartor/A 12221-2024 karta.png", "A 12221-2024")</f>
        <v/>
      </c>
      <c r="Y38">
        <f>HYPERLINK("https://klasma.github.io/Logging_0764/kartor_geotiff/A 12221-2024 georefererad karta.tif", "A 12221-2024")</f>
        <v/>
      </c>
      <c r="AA38">
        <f>HYPERLINK("https://klasma.github.io/Logging_0764/klagomål/A 12221-2024 FSC-klagomål.docx", "A 12221-2024")</f>
        <v/>
      </c>
      <c r="AB38">
        <f>HYPERLINK("https://klasma.github.io/Logging_0764/klagomålsmail/A 12221-2024 FSC-klagomål mail.docx", "A 12221-2024")</f>
        <v/>
      </c>
      <c r="AC38">
        <f>HYPERLINK("https://klasma.github.io/Logging_0764/tillsyn/A 12221-2024 tillsynsbegäran.docx", "A 12221-2024")</f>
        <v/>
      </c>
      <c r="AD38">
        <f>HYPERLINK("https://klasma.github.io/Logging_0764/tillsynsmail/A 12221-2024 tillsynsbegäran mail.docx", "A 12221-2024")</f>
        <v/>
      </c>
    </row>
    <row r="39" ht="15" customHeight="1">
      <c r="A39" t="inlineStr">
        <is>
          <t>A 44406-2024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45573</v>
      </c>
      <c r="E39" s="1" t="n">
        <v>46289</v>
      </c>
      <c r="F39" t="inlineStr">
        <is>
          <t>KRONOBERGS LÄN</t>
        </is>
      </c>
      <c r="G39" t="inlineStr">
        <is>
          <t>ALVESTA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44406-2024 artfynd.xlsx", "A 44406-2024")</f>
        <v/>
      </c>
      <c r="X39">
        <f>HYPERLINK("https://klasma.github.io/Logging_0764/kartor/A 44406-2024 karta.png", "A 44406-2024")</f>
        <v/>
      </c>
      <c r="Y39">
        <f>HYPERLINK("https://klasma.github.io/Logging_0764/kartor_geotiff/A 44406-2024 georefererad karta.tif", "A 44406-2024")</f>
        <v/>
      </c>
      <c r="AA39">
        <f>HYPERLINK("https://klasma.github.io/Logging_0764/klagomål/A 44406-2024 FSC-klagomål.docx", "A 44406-2024")</f>
        <v/>
      </c>
      <c r="AB39">
        <f>HYPERLINK("https://klasma.github.io/Logging_0764/klagomålsmail/A 44406-2024 FSC-klagomål mail.docx", "A 44406-2024")</f>
        <v/>
      </c>
      <c r="AC39">
        <f>HYPERLINK("https://klasma.github.io/Logging_0764/tillsyn/A 44406-2024 tillsynsbegäran.docx", "A 44406-2024")</f>
        <v/>
      </c>
      <c r="AD39">
        <f>HYPERLINK("https://klasma.github.io/Logging_0764/tillsynsmail/A 44406-2024 tillsynsbegäran mail.docx", "A 44406-2024")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46289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46289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60729-2025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45996</v>
      </c>
      <c r="E42" s="1" t="n">
        <v>46289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HYPERLINK("https://klasma.github.io/Logging_0764/artfynd/A 60729-2025 artfynd.xlsx", "A 60729-2025")</f>
        <v/>
      </c>
      <c r="X42">
        <f>HYPERLINK("https://klasma.github.io/Logging_0764/kartor/A 60729-2025 karta.png", "A 60729-2025")</f>
        <v/>
      </c>
      <c r="Y42">
        <f>HYPERLINK("https://klasma.github.io/Logging_0764/kartor_geotiff/A 60729-2025 georefererad karta.tif", "A 60729-2025")</f>
        <v/>
      </c>
      <c r="AA42">
        <f>HYPERLINK("https://klasma.github.io/Logging_0764/klagomål/A 60729-2025 FSC-klagomål.docx", "A 60729-2025")</f>
        <v/>
      </c>
      <c r="AB42">
        <f>HYPERLINK("https://klasma.github.io/Logging_0764/klagomålsmail/A 60729-2025 FSC-klagomål mail.docx", "A 60729-2025")</f>
        <v/>
      </c>
      <c r="AC42">
        <f>HYPERLINK("https://klasma.github.io/Logging_0764/tillsyn/A 60729-2025 tillsynsbegäran.docx", "A 60729-2025")</f>
        <v/>
      </c>
      <c r="AD42">
        <f>HYPERLINK("https://klasma.github.io/Logging_0764/tillsynsmail/A 60729-2025 tillsynsbegäran mail.docx", "A 60729-2025")</f>
        <v/>
      </c>
    </row>
    <row r="43" ht="15" customHeight="1">
      <c r="A43" t="inlineStr">
        <is>
          <t>A 32786-2026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46241</v>
      </c>
      <c r="E43" s="1" t="n">
        <v>46289</v>
      </c>
      <c r="F43" t="inlineStr">
        <is>
          <t>KRONOBERGS LÄN</t>
        </is>
      </c>
      <c r="G43" t="inlineStr">
        <is>
          <t>ALVESTA</t>
        </is>
      </c>
      <c r="I43" t="n">
        <v>13.9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Bohuslind</t>
        </is>
      </c>
      <c r="W43">
        <f>HYPERLINK("https://klasma.github.io/Logging_0764/artfynd/A 32786-2026 artfynd.xlsx", "A 32786-2026")</f>
        <v/>
      </c>
      <c r="X43">
        <f>HYPERLINK("https://klasma.github.io/Logging_0764/kartor/A 32786-2026 karta.png", "A 32786-2026")</f>
        <v/>
      </c>
      <c r="Y43">
        <f>HYPERLINK("https://klasma.github.io/Logging_0764/kartor_geotiff/A 32786-2026 georefererad karta.tif", "A 32786-2026")</f>
        <v/>
      </c>
      <c r="AA43">
        <f>HYPERLINK("https://klasma.github.io/Logging_0764/klagomål/A 32786-2026 FSC-klagomål.docx", "A 32786-2026")</f>
        <v/>
      </c>
      <c r="AB43">
        <f>HYPERLINK("https://klasma.github.io/Logging_0764/klagomålsmail/A 32786-2026 FSC-klagomål mail.docx", "A 32786-2026")</f>
        <v/>
      </c>
      <c r="AC43">
        <f>HYPERLINK("https://klasma.github.io/Logging_0764/tillsyn/A 32786-2026 tillsynsbegäran.docx", "A 32786-2026")</f>
        <v/>
      </c>
      <c r="AD43">
        <f>HYPERLINK("https://klasma.github.io/Logging_0764/tillsynsmail/A 32786-2026 tillsynsbegäran mail.docx", "A 32786-2026")</f>
        <v/>
      </c>
    </row>
    <row r="44" ht="15" customHeight="1">
      <c r="A44" t="inlineStr">
        <is>
          <t>A 38890-2024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46289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0</v>
      </c>
      <c r="V44" s="2" t="inlineStr">
        <is>
          <t>Hårklomossa</t>
        </is>
      </c>
      <c r="W44">
        <f>HYPERLINK("https://klasma.github.io/Logging_0764/artfynd/A 38890-2024 artfynd.xlsx", "A 38890-2024")</f>
        <v/>
      </c>
      <c r="X44">
        <f>HYPERLINK("https://klasma.github.io/Logging_0764/kartor/A 38890-2024 karta.png", "A 38890-2024")</f>
        <v/>
      </c>
      <c r="Y44">
        <f>HYPERLINK("https://klasma.github.io/Logging_0764/kartor_geotiff/A 38890-2024 georefererad karta.tif", "A 38890-2024")</f>
        <v/>
      </c>
      <c r="AA44">
        <f>HYPERLINK("https://klasma.github.io/Logging_0764/klagomål/A 38890-2024 FSC-klagomål.docx", "A 38890-2024")</f>
        <v/>
      </c>
      <c r="AB44">
        <f>HYPERLINK("https://klasma.github.io/Logging_0764/klagomålsmail/A 38890-2024 FSC-klagomål mail.docx", "A 38890-2024")</f>
        <v/>
      </c>
      <c r="AC44">
        <f>HYPERLINK("https://klasma.github.io/Logging_0764/tillsyn/A 38890-2024 tillsynsbegäran.docx", "A 38890-2024")</f>
        <v/>
      </c>
      <c r="AD44">
        <f>HYPERLINK("https://klasma.github.io/Logging_0764/tillsynsmail/A 38890-2024 tillsynsbegäran mail.docx", "A 38890-2024")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46289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46289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46289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46289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46289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46289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55368-2025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45971</v>
      </c>
      <c r="E51" s="1" t="n">
        <v>46289</v>
      </c>
      <c r="F51" t="inlineStr">
        <is>
          <t>KRONOBERGS LÄN</t>
        </is>
      </c>
      <c r="G51" t="inlineStr">
        <is>
          <t>ALVESTA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HYPERLINK("https://klasma.github.io/Logging_0764/artfynd/A 55368-2025 artfynd.xlsx", "A 55368-2025")</f>
        <v/>
      </c>
      <c r="X51">
        <f>HYPERLINK("https://klasma.github.io/Logging_0764/kartor/A 55368-2025 karta.png", "A 55368-2025")</f>
        <v/>
      </c>
      <c r="Y51">
        <f>HYPERLINK("https://klasma.github.io/Logging_0764/kartor_geotiff/A 55368-2025 georefererad karta.tif", "A 55368-2025")</f>
        <v/>
      </c>
      <c r="AA51">
        <f>HYPERLINK("https://klasma.github.io/Logging_0764/klagomål/A 55368-2025 FSC-klagomål.docx", "A 55368-2025")</f>
        <v/>
      </c>
      <c r="AB51">
        <f>HYPERLINK("https://klasma.github.io/Logging_0764/klagomålsmail/A 55368-2025 FSC-klagomål mail.docx", "A 55368-2025")</f>
        <v/>
      </c>
      <c r="AC51">
        <f>HYPERLINK("https://klasma.github.io/Logging_0764/tillsyn/A 55368-2025 tillsynsbegäran.docx", "A 55368-2025")</f>
        <v/>
      </c>
      <c r="AD51">
        <f>HYPERLINK("https://klasma.github.io/Logging_0764/tillsynsmail/A 55368-2025 tillsynsbegäran mail.docx", "A 55368-2025")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46289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46289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46289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46289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46289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46289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46289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46289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46289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46289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46289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46289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46289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46289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46289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46289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46289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46289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46289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46289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46289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46289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46289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46289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46289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46289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46289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46289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46289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46289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46289</v>
      </c>
      <c r="F83" t="inlineStr">
        <is>
          <t>KRONOBERGS LÄN</t>
        </is>
      </c>
      <c r="G83" t="inlineStr">
        <is>
          <t>ALVESTA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46289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46289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46289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46289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46289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46289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46289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46289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46289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46289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46289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46289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46289</v>
      </c>
      <c r="F96" t="inlineStr">
        <is>
          <t>KRONOBERGS LÄN</t>
        </is>
      </c>
      <c r="G96" t="inlineStr">
        <is>
          <t>ALVESTA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46289</v>
      </c>
      <c r="F97" t="inlineStr">
        <is>
          <t>KRONOBERGS LÄN</t>
        </is>
      </c>
      <c r="G97" t="inlineStr">
        <is>
          <t>ALVESTA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46289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46289</v>
      </c>
      <c r="F99" t="inlineStr">
        <is>
          <t>KRONOBERGS LÄN</t>
        </is>
      </c>
      <c r="G99" t="inlineStr">
        <is>
          <t>ALVESTA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45673</v>
      </c>
      <c r="E100" s="1" t="n">
        <v>46289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46289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58648-2024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45635</v>
      </c>
      <c r="E102" s="1" t="n">
        <v>46289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45722</v>
      </c>
      <c r="E103" s="1" t="n">
        <v>46289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46289</v>
      </c>
      <c r="F104" t="inlineStr">
        <is>
          <t>KRONOBERGS LÄN</t>
        </is>
      </c>
      <c r="G104" t="inlineStr">
        <is>
          <t>ALVESTA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46289</v>
      </c>
      <c r="F105" t="inlineStr">
        <is>
          <t>KRONOBERGS LÄN</t>
        </is>
      </c>
      <c r="G105" t="inlineStr">
        <is>
          <t>ALVESTA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46289</v>
      </c>
      <c r="F106" t="inlineStr">
        <is>
          <t>KRONOBERGS LÄN</t>
        </is>
      </c>
      <c r="G106" t="inlineStr">
        <is>
          <t>ALVESTA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46289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46289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46289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46289</v>
      </c>
      <c r="F110" t="inlineStr">
        <is>
          <t>KRONOBERGS LÄN</t>
        </is>
      </c>
      <c r="G110" t="inlineStr">
        <is>
          <t>ALVESTA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46289</v>
      </c>
      <c r="F111" t="inlineStr">
        <is>
          <t>KRONOBERGS LÄN</t>
        </is>
      </c>
      <c r="G111" t="inlineStr">
        <is>
          <t>ALVESTA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46289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46289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46289</v>
      </c>
      <c r="F114" t="inlineStr">
        <is>
          <t>KRONOBERGS LÄN</t>
        </is>
      </c>
      <c r="G114" t="inlineStr">
        <is>
          <t>ALVESTA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46289</v>
      </c>
      <c r="F115" t="inlineStr">
        <is>
          <t>KRONOBERGS LÄN</t>
        </is>
      </c>
      <c r="G115" t="inlineStr">
        <is>
          <t>ALVESTA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44804</v>
      </c>
      <c r="E116" s="1" t="n">
        <v>46289</v>
      </c>
      <c r="F116" t="inlineStr">
        <is>
          <t>KRONOBERGS LÄN</t>
        </is>
      </c>
      <c r="G116" t="inlineStr">
        <is>
          <t>ALVESTA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44855</v>
      </c>
      <c r="E117" s="1" t="n">
        <v>46289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46289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46289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45618</v>
      </c>
      <c r="E120" s="1" t="n">
        <v>46289</v>
      </c>
      <c r="F120" t="inlineStr">
        <is>
          <t>KRONOBERGS LÄN</t>
        </is>
      </c>
      <c r="G120" t="inlineStr">
        <is>
          <t>ALVESTA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46289</v>
      </c>
      <c r="F121" t="inlineStr">
        <is>
          <t>KRONOBERGS LÄN</t>
        </is>
      </c>
      <c r="G121" t="inlineStr">
        <is>
          <t>ALVESTA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46289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46289</v>
      </c>
      <c r="F123" t="inlineStr">
        <is>
          <t>KRONOBERGS LÄN</t>
        </is>
      </c>
      <c r="G123" t="inlineStr">
        <is>
          <t>ALVESTA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53937-2021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46289</v>
      </c>
      <c r="F124" t="inlineStr">
        <is>
          <t>KRONOBERGS LÄN</t>
        </is>
      </c>
      <c r="G124" t="inlineStr">
        <is>
          <t>ALVESTA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46289</v>
      </c>
      <c r="F125" t="inlineStr">
        <is>
          <t>KRONOBERGS LÄN</t>
        </is>
      </c>
      <c r="G125" t="inlineStr">
        <is>
          <t>ALVESTA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46289</v>
      </c>
      <c r="F126" t="inlineStr">
        <is>
          <t>KRONOBERGS LÄN</t>
        </is>
      </c>
      <c r="G126" t="inlineStr">
        <is>
          <t>ALVESTA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46289</v>
      </c>
      <c r="F127" t="inlineStr">
        <is>
          <t>KRONOBERGS LÄN</t>
        </is>
      </c>
      <c r="G127" t="inlineStr">
        <is>
          <t>ALVESTA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45790</v>
      </c>
      <c r="E128" s="1" t="n">
        <v>46289</v>
      </c>
      <c r="F128" t="inlineStr">
        <is>
          <t>KRONOBERGS LÄN</t>
        </is>
      </c>
      <c r="G128" t="inlineStr">
        <is>
          <t>ALVESTA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46289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46289</v>
      </c>
      <c r="F130" t="inlineStr">
        <is>
          <t>KRONOBERGS LÄN</t>
        </is>
      </c>
      <c r="G130" t="inlineStr">
        <is>
          <t>ALVESTA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46289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46289</v>
      </c>
      <c r="F132" t="inlineStr">
        <is>
          <t>KRONOBERGS LÄN</t>
        </is>
      </c>
      <c r="G132" t="inlineStr">
        <is>
          <t>ALVESTA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46289</v>
      </c>
      <c r="F133" t="inlineStr">
        <is>
          <t>KRONOBERGS LÄN</t>
        </is>
      </c>
      <c r="G133" t="inlineStr">
        <is>
          <t>ALVESTA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46289</v>
      </c>
      <c r="F134" t="inlineStr">
        <is>
          <t>KRONOBERGS LÄN</t>
        </is>
      </c>
      <c r="G134" t="inlineStr">
        <is>
          <t>ALVESTA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46289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46289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46289</v>
      </c>
      <c r="F137" t="inlineStr">
        <is>
          <t>KRONOBERGS LÄN</t>
        </is>
      </c>
      <c r="G137" t="inlineStr">
        <is>
          <t>ALVESTA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46289</v>
      </c>
      <c r="F138" t="inlineStr">
        <is>
          <t>KRONOBERGS LÄN</t>
        </is>
      </c>
      <c r="G138" t="inlineStr">
        <is>
          <t>ALVESTA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46289</v>
      </c>
      <c r="F139" t="inlineStr">
        <is>
          <t>KRONOBERGS LÄN</t>
        </is>
      </c>
      <c r="G139" t="inlineStr">
        <is>
          <t>ALVESTA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50733-2023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45217</v>
      </c>
      <c r="E140" s="1" t="n">
        <v>46289</v>
      </c>
      <c r="F140" t="inlineStr">
        <is>
          <t>KRONOBERGS LÄN</t>
        </is>
      </c>
      <c r="G140" t="inlineStr">
        <is>
          <t>ALVESTA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46289</v>
      </c>
      <c r="F141" t="inlineStr">
        <is>
          <t>KRONOBERGS LÄN</t>
        </is>
      </c>
      <c r="G141" t="inlineStr">
        <is>
          <t>ALVESTA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46289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46289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45136</v>
      </c>
      <c r="E144" s="1" t="n">
        <v>46289</v>
      </c>
      <c r="F144" t="inlineStr">
        <is>
          <t>KRONOBERGS LÄN</t>
        </is>
      </c>
      <c r="G144" t="inlineStr">
        <is>
          <t>ALVESTA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46289</v>
      </c>
      <c r="F145" t="inlineStr">
        <is>
          <t>KRONOBERGS LÄN</t>
        </is>
      </c>
      <c r="G145" t="inlineStr">
        <is>
          <t>ALVESTA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46289</v>
      </c>
      <c r="F146" t="inlineStr">
        <is>
          <t>KRONOBERGS LÄN</t>
        </is>
      </c>
      <c r="G146" t="inlineStr">
        <is>
          <t>ALVESTA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46289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46289</v>
      </c>
      <c r="F148" t="inlineStr">
        <is>
          <t>KRONOBERGS LÄN</t>
        </is>
      </c>
      <c r="G148" t="inlineStr">
        <is>
          <t>ALVESTA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35732-2024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45532</v>
      </c>
      <c r="E149" s="1" t="n">
        <v>46289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46289</v>
      </c>
      <c r="F150" t="inlineStr">
        <is>
          <t>KRONOBERGS LÄN</t>
        </is>
      </c>
      <c r="G150" t="inlineStr">
        <is>
          <t>ALVESTA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46289</v>
      </c>
      <c r="F151" t="inlineStr">
        <is>
          <t>KRONOBERGS LÄN</t>
        </is>
      </c>
      <c r="G151" t="inlineStr">
        <is>
          <t>ALVESTA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46289</v>
      </c>
      <c r="F152" t="inlineStr">
        <is>
          <t>KRONOBERGS LÄN</t>
        </is>
      </c>
      <c r="G152" t="inlineStr">
        <is>
          <t>ALVESTA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46289</v>
      </c>
      <c r="F153" t="inlineStr">
        <is>
          <t>KRONOBERGS LÄN</t>
        </is>
      </c>
      <c r="G153" t="inlineStr">
        <is>
          <t>ALVESTA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60478-2023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45259</v>
      </c>
      <c r="E154" s="1" t="n">
        <v>46289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45384</v>
      </c>
      <c r="E155" s="1" t="n">
        <v>46289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46289</v>
      </c>
      <c r="F156" t="inlineStr">
        <is>
          <t>KRONOBERGS LÄN</t>
        </is>
      </c>
      <c r="G156" t="inlineStr">
        <is>
          <t>ALVESTA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46289</v>
      </c>
      <c r="F157" t="inlineStr">
        <is>
          <t>KRONOBERGS LÄN</t>
        </is>
      </c>
      <c r="G157" t="inlineStr">
        <is>
          <t>ALVESTA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46289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44868</v>
      </c>
      <c r="E159" s="1" t="n">
        <v>46289</v>
      </c>
      <c r="F159" t="inlineStr">
        <is>
          <t>KRONOBERGS LÄN</t>
        </is>
      </c>
      <c r="G159" t="inlineStr">
        <is>
          <t>ALVESTA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45407</v>
      </c>
      <c r="E160" s="1" t="n">
        <v>46289</v>
      </c>
      <c r="F160" t="inlineStr">
        <is>
          <t>KRONOBERGS LÄN</t>
        </is>
      </c>
      <c r="G160" t="inlineStr">
        <is>
          <t>ALVESTA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46289</v>
      </c>
      <c r="F161" t="inlineStr">
        <is>
          <t>KRONOBERGS LÄN</t>
        </is>
      </c>
      <c r="G161" t="inlineStr">
        <is>
          <t>ALVESTA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44880</v>
      </c>
      <c r="E162" s="1" t="n">
        <v>46289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46289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46289</v>
      </c>
      <c r="F164" t="inlineStr">
        <is>
          <t>KRONOBERGS LÄN</t>
        </is>
      </c>
      <c r="G164" t="inlineStr">
        <is>
          <t>ALVESTA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46289</v>
      </c>
      <c r="F165" t="inlineStr">
        <is>
          <t>KRONOBERGS LÄN</t>
        </is>
      </c>
      <c r="G165" t="inlineStr">
        <is>
          <t>ALVESTA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45128</v>
      </c>
      <c r="E166" s="1" t="n">
        <v>46289</v>
      </c>
      <c r="F166" t="inlineStr">
        <is>
          <t>KRONOBERGS LÄN</t>
        </is>
      </c>
      <c r="G166" t="inlineStr">
        <is>
          <t>ALVESTA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46289</v>
      </c>
      <c r="F167" t="inlineStr">
        <is>
          <t>KRONOBERGS LÄN</t>
        </is>
      </c>
      <c r="G167" t="inlineStr">
        <is>
          <t>ALVESTA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46289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46289</v>
      </c>
      <c r="F169" t="inlineStr">
        <is>
          <t>KRONOBERGS LÄN</t>
        </is>
      </c>
      <c r="G169" t="inlineStr">
        <is>
          <t>ALVESTA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45798</v>
      </c>
      <c r="E170" s="1" t="n">
        <v>46289</v>
      </c>
      <c r="F170" t="inlineStr">
        <is>
          <t>KRONOBERGS LÄN</t>
        </is>
      </c>
      <c r="G170" t="inlineStr">
        <is>
          <t>ALVESTA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46289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46289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45296</v>
      </c>
      <c r="E173" s="1" t="n">
        <v>46289</v>
      </c>
      <c r="F173" t="inlineStr">
        <is>
          <t>KRONOBERGS LÄN</t>
        </is>
      </c>
      <c r="G173" t="inlineStr">
        <is>
          <t>ALVESTA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46289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46289</v>
      </c>
      <c r="F175" t="inlineStr">
        <is>
          <t>KRONOBERGS LÄN</t>
        </is>
      </c>
      <c r="G175" t="inlineStr">
        <is>
          <t>ALVESTA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46289</v>
      </c>
      <c r="F176" t="inlineStr">
        <is>
          <t>KRONOBERGS LÄN</t>
        </is>
      </c>
      <c r="G176" t="inlineStr">
        <is>
          <t>ALVESTA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46289</v>
      </c>
      <c r="F177" t="inlineStr">
        <is>
          <t>KRONOBERGS LÄN</t>
        </is>
      </c>
      <c r="G177" t="inlineStr">
        <is>
          <t>ALVESTA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46289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45436</v>
      </c>
      <c r="E179" s="1" t="n">
        <v>46289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38875-2022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44816</v>
      </c>
      <c r="E180" s="1" t="n">
        <v>46289</v>
      </c>
      <c r="F180" t="inlineStr">
        <is>
          <t>KRONOBERGS LÄN</t>
        </is>
      </c>
      <c r="G180" t="inlineStr">
        <is>
          <t>ALVESTA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46289</v>
      </c>
      <c r="F181" t="inlineStr">
        <is>
          <t>KRONOBERGS LÄN</t>
        </is>
      </c>
      <c r="G181" t="inlineStr">
        <is>
          <t>ALVESTA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46289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46289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45015</v>
      </c>
      <c r="E184" s="1" t="n">
        <v>46289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46289</v>
      </c>
      <c r="F185" t="inlineStr">
        <is>
          <t>KRONOBERGS LÄN</t>
        </is>
      </c>
      <c r="G185" t="inlineStr">
        <is>
          <t>ALVESTA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44490</v>
      </c>
      <c r="E186" s="1" t="n">
        <v>46289</v>
      </c>
      <c r="F186" t="inlineStr">
        <is>
          <t>KRONOBERGS LÄN</t>
        </is>
      </c>
      <c r="G186" t="inlineStr">
        <is>
          <t>ALVESTA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44907</v>
      </c>
      <c r="E187" s="1" t="n">
        <v>46289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45462</v>
      </c>
      <c r="E188" s="1" t="n">
        <v>46289</v>
      </c>
      <c r="F188" t="inlineStr">
        <is>
          <t>KRONOBERGS LÄN</t>
        </is>
      </c>
      <c r="G188" t="inlineStr">
        <is>
          <t>ALVESTA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46289</v>
      </c>
      <c r="F189" t="inlineStr">
        <is>
          <t>KRONOBERGS LÄN</t>
        </is>
      </c>
      <c r="G189" t="inlineStr">
        <is>
          <t>ALVESTA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45114</v>
      </c>
      <c r="E190" s="1" t="n">
        <v>46289</v>
      </c>
      <c r="F190" t="inlineStr">
        <is>
          <t>KRONOBERGS LÄN</t>
        </is>
      </c>
      <c r="G190" t="inlineStr">
        <is>
          <t>ALVESTA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46289</v>
      </c>
      <c r="F191" t="inlineStr">
        <is>
          <t>KRONOBERGS LÄN</t>
        </is>
      </c>
      <c r="G191" t="inlineStr">
        <is>
          <t>ALVESTA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46289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44957</v>
      </c>
      <c r="E193" s="1" t="n">
        <v>46289</v>
      </c>
      <c r="F193" t="inlineStr">
        <is>
          <t>KRONOBERGS LÄN</t>
        </is>
      </c>
      <c r="G193" t="inlineStr">
        <is>
          <t>ALVESTA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46289</v>
      </c>
      <c r="F194" t="inlineStr">
        <is>
          <t>KRONOBERGS LÄN</t>
        </is>
      </c>
      <c r="G194" t="inlineStr">
        <is>
          <t>ALVESTA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46289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46289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45337</v>
      </c>
      <c r="E197" s="1" t="n">
        <v>46289</v>
      </c>
      <c r="F197" t="inlineStr">
        <is>
          <t>KRONOBERGS LÄN</t>
        </is>
      </c>
      <c r="G197" t="inlineStr">
        <is>
          <t>ALVESTA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46289</v>
      </c>
      <c r="F198" t="inlineStr">
        <is>
          <t>KRONOBERGS LÄN</t>
        </is>
      </c>
      <c r="G198" t="inlineStr">
        <is>
          <t>ALVESTA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44504</v>
      </c>
      <c r="E199" s="1" t="n">
        <v>46289</v>
      </c>
      <c r="F199" t="inlineStr">
        <is>
          <t>KRONOBERGS LÄN</t>
        </is>
      </c>
      <c r="G199" t="inlineStr">
        <is>
          <t>ALVESTA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46289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46289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46289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46289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46289</v>
      </c>
      <c r="F204" t="inlineStr">
        <is>
          <t>KRONOBERGS LÄN</t>
        </is>
      </c>
      <c r="G204" t="inlineStr">
        <is>
          <t>ALVESTA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45362</v>
      </c>
      <c r="E205" s="1" t="n">
        <v>46289</v>
      </c>
      <c r="F205" t="inlineStr">
        <is>
          <t>KRONOBERGS LÄN</t>
        </is>
      </c>
      <c r="G205" t="inlineStr">
        <is>
          <t>ALVESTA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46289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45544</v>
      </c>
      <c r="E207" s="1" t="n">
        <v>46289</v>
      </c>
      <c r="F207" t="inlineStr">
        <is>
          <t>KRONOBERGS LÄN</t>
        </is>
      </c>
      <c r="G207" t="inlineStr">
        <is>
          <t>ALVESTA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46289</v>
      </c>
      <c r="F208" t="inlineStr">
        <is>
          <t>KRONOBERGS LÄN</t>
        </is>
      </c>
      <c r="G208" t="inlineStr">
        <is>
          <t>ALVESTA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46289</v>
      </c>
      <c r="F209" t="inlineStr">
        <is>
          <t>KRONOBERGS LÄN</t>
        </is>
      </c>
      <c r="G209" t="inlineStr">
        <is>
          <t>ALVESTA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44601</v>
      </c>
      <c r="E210" s="1" t="n">
        <v>46289</v>
      </c>
      <c r="F210" t="inlineStr">
        <is>
          <t>KRONOBERGS LÄN</t>
        </is>
      </c>
      <c r="G210" t="inlineStr">
        <is>
          <t>ALVESTA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46289</v>
      </c>
      <c r="F211" t="inlineStr">
        <is>
          <t>KRONOBERGS LÄN</t>
        </is>
      </c>
      <c r="G211" t="inlineStr">
        <is>
          <t>ALVESTA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46289</v>
      </c>
      <c r="F212" t="inlineStr">
        <is>
          <t>KRONOBERGS LÄN</t>
        </is>
      </c>
      <c r="G212" t="inlineStr">
        <is>
          <t>ALVESTA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44925</v>
      </c>
      <c r="E213" s="1" t="n">
        <v>46289</v>
      </c>
      <c r="F213" t="inlineStr">
        <is>
          <t>KRONOBERGS LÄN</t>
        </is>
      </c>
      <c r="G213" t="inlineStr">
        <is>
          <t>ALVESTA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46289</v>
      </c>
      <c r="F214" t="inlineStr">
        <is>
          <t>KRONOBERGS LÄN</t>
        </is>
      </c>
      <c r="G214" t="inlineStr">
        <is>
          <t>ALVESTA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52172-2022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46289</v>
      </c>
      <c r="F215" t="inlineStr">
        <is>
          <t>KRONOBERGS LÄN</t>
        </is>
      </c>
      <c r="G215" t="inlineStr">
        <is>
          <t>ALVESTA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46289</v>
      </c>
      <c r="F216" t="inlineStr">
        <is>
          <t>KRONOBERGS LÄN</t>
        </is>
      </c>
      <c r="G216" t="inlineStr">
        <is>
          <t>ALVESTA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46289</v>
      </c>
      <c r="F217" t="inlineStr">
        <is>
          <t>KRONOBERGS LÄN</t>
        </is>
      </c>
      <c r="G217" t="inlineStr">
        <is>
          <t>ALVESTA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46289</v>
      </c>
      <c r="F218" t="inlineStr">
        <is>
          <t>KRONOBERGS LÄN</t>
        </is>
      </c>
      <c r="G218" t="inlineStr">
        <is>
          <t>ALVESTA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46289</v>
      </c>
      <c r="F219" t="inlineStr">
        <is>
          <t>KRONOBERGS LÄN</t>
        </is>
      </c>
      <c r="G219" t="inlineStr">
        <is>
          <t>ALVESTA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46289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46289</v>
      </c>
      <c r="F221" t="inlineStr">
        <is>
          <t>KRONOBERGS LÄN</t>
        </is>
      </c>
      <c r="G221" t="inlineStr">
        <is>
          <t>ALVESTA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46289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45305</v>
      </c>
      <c r="E223" s="1" t="n">
        <v>46289</v>
      </c>
      <c r="F223" t="inlineStr">
        <is>
          <t>KRONOBERGS LÄN</t>
        </is>
      </c>
      <c r="G223" t="inlineStr">
        <is>
          <t>ALVESTA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46289</v>
      </c>
      <c r="F224" t="inlineStr">
        <is>
          <t>KRONOBERGS LÄN</t>
        </is>
      </c>
      <c r="G224" t="inlineStr">
        <is>
          <t>ALVESTA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46289</v>
      </c>
      <c r="F225" t="inlineStr">
        <is>
          <t>KRONOBERGS LÄN</t>
        </is>
      </c>
      <c r="G225" t="inlineStr">
        <is>
          <t>ALVESTA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45518</v>
      </c>
      <c r="E226" s="1" t="n">
        <v>46289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46289</v>
      </c>
      <c r="F227" t="inlineStr">
        <is>
          <t>KRONOBERGS LÄN</t>
        </is>
      </c>
      <c r="G227" t="inlineStr">
        <is>
          <t>ALVESTA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46289</v>
      </c>
      <c r="F228" t="inlineStr">
        <is>
          <t>KRONOBERGS LÄN</t>
        </is>
      </c>
      <c r="G228" t="inlineStr">
        <is>
          <t>ALVESTA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38765-2022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44816</v>
      </c>
      <c r="E229" s="1" t="n">
        <v>46289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45563</v>
      </c>
      <c r="E230" s="1" t="n">
        <v>46289</v>
      </c>
      <c r="F230" t="inlineStr">
        <is>
          <t>KRONOBERGS LÄN</t>
        </is>
      </c>
      <c r="G230" t="inlineStr">
        <is>
          <t>ALVESTA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45460</v>
      </c>
      <c r="E231" s="1" t="n">
        <v>46289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46289</v>
      </c>
      <c r="F232" t="inlineStr">
        <is>
          <t>KRONOBERGS LÄN</t>
        </is>
      </c>
      <c r="G232" t="inlineStr">
        <is>
          <t>ALVESTA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46289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46289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44656</v>
      </c>
      <c r="E235" s="1" t="n">
        <v>46289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46289</v>
      </c>
      <c r="F236" t="inlineStr">
        <is>
          <t>KRONOBERGS LÄN</t>
        </is>
      </c>
      <c r="G236" t="inlineStr">
        <is>
          <t>ALVESTA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46289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44818-2024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45574</v>
      </c>
      <c r="E238" s="1" t="n">
        <v>46289</v>
      </c>
      <c r="F238" t="inlineStr">
        <is>
          <t>KRONOBERGS LÄN</t>
        </is>
      </c>
      <c r="G238" t="inlineStr">
        <is>
          <t>ALVESTA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46289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45418</v>
      </c>
      <c r="E240" s="1" t="n">
        <v>46289</v>
      </c>
      <c r="F240" t="inlineStr">
        <is>
          <t>KRONOBERGS LÄN</t>
        </is>
      </c>
      <c r="G240" t="inlineStr">
        <is>
          <t>ALVESTA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45418</v>
      </c>
      <c r="E241" s="1" t="n">
        <v>46289</v>
      </c>
      <c r="F241" t="inlineStr">
        <is>
          <t>KRONOBERGS LÄN</t>
        </is>
      </c>
      <c r="G241" t="inlineStr">
        <is>
          <t>ALVESTA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45860</v>
      </c>
      <c r="E242" s="1" t="n">
        <v>46289</v>
      </c>
      <c r="F242" t="inlineStr">
        <is>
          <t>KRONOBERGS LÄN</t>
        </is>
      </c>
      <c r="G242" t="inlineStr">
        <is>
          <t>ALVESTA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46289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9687-2024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45362</v>
      </c>
      <c r="E244" s="1" t="n">
        <v>46289</v>
      </c>
      <c r="F244" t="inlineStr">
        <is>
          <t>KRONOBERGS LÄN</t>
        </is>
      </c>
      <c r="G244" t="inlineStr">
        <is>
          <t>ALVESTA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46289</v>
      </c>
      <c r="F245" t="inlineStr">
        <is>
          <t>KRONOBERGS LÄN</t>
        </is>
      </c>
      <c r="G245" t="inlineStr">
        <is>
          <t>ALVESTA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46289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46289</v>
      </c>
      <c r="F247" t="inlineStr">
        <is>
          <t>KRONOBERGS LÄN</t>
        </is>
      </c>
      <c r="G247" t="inlineStr">
        <is>
          <t>ALVESTA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45642</v>
      </c>
      <c r="E248" s="1" t="n">
        <v>46289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46289</v>
      </c>
      <c r="F249" t="inlineStr">
        <is>
          <t>KRONOBERGS LÄN</t>
        </is>
      </c>
      <c r="G249" t="inlineStr">
        <is>
          <t>ALVESTA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46289</v>
      </c>
      <c r="F250" t="inlineStr">
        <is>
          <t>KRONOBERGS LÄN</t>
        </is>
      </c>
      <c r="G250" t="inlineStr">
        <is>
          <t>ALVESTA</t>
        </is>
      </c>
      <c r="H250" t="inlineStr">
        <is>
          <t>Kommuner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46289</v>
      </c>
      <c r="F251" t="inlineStr">
        <is>
          <t>KRONOBERGS LÄN</t>
        </is>
      </c>
      <c r="G251" t="inlineStr">
        <is>
          <t>ALVESTA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46289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46289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46289</v>
      </c>
      <c r="F254" t="inlineStr">
        <is>
          <t>KRONOBERGS LÄN</t>
        </is>
      </c>
      <c r="G254" t="inlineStr">
        <is>
          <t>ALVESTA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46289</v>
      </c>
      <c r="F255" t="inlineStr">
        <is>
          <t>KRONOBERGS LÄN</t>
        </is>
      </c>
      <c r="G255" t="inlineStr">
        <is>
          <t>ALVESTA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46289</v>
      </c>
      <c r="F256" t="inlineStr">
        <is>
          <t>KRONOBERGS LÄN</t>
        </is>
      </c>
      <c r="G256" t="inlineStr">
        <is>
          <t>ALVESTA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46289</v>
      </c>
      <c r="F257" t="inlineStr">
        <is>
          <t>KRONOBERGS LÄN</t>
        </is>
      </c>
      <c r="G257" t="inlineStr">
        <is>
          <t>ALVESTA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45447</v>
      </c>
      <c r="E258" s="1" t="n">
        <v>46289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46289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45548</v>
      </c>
      <c r="E260" s="1" t="n">
        <v>46289</v>
      </c>
      <c r="F260" t="inlineStr">
        <is>
          <t>KRONOBERGS LÄN</t>
        </is>
      </c>
      <c r="G260" t="inlineStr">
        <is>
          <t>ALVESTA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45517</v>
      </c>
      <c r="E261" s="1" t="n">
        <v>46289</v>
      </c>
      <c r="F261" t="inlineStr">
        <is>
          <t>KRONOBERGS LÄN</t>
        </is>
      </c>
      <c r="G261" t="inlineStr">
        <is>
          <t>ALVESTA</t>
        </is>
      </c>
      <c r="H261" t="inlineStr">
        <is>
          <t>Kyrkan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46289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45390</v>
      </c>
      <c r="E263" s="1" t="n">
        <v>46289</v>
      </c>
      <c r="F263" t="inlineStr">
        <is>
          <t>KRONOBERGS LÄN</t>
        </is>
      </c>
      <c r="G263" t="inlineStr">
        <is>
          <t>ALVESTA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46289</v>
      </c>
      <c r="F264" t="inlineStr">
        <is>
          <t>KRONOBERGS LÄN</t>
        </is>
      </c>
      <c r="G264" t="inlineStr">
        <is>
          <t>ALVESTA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46289</v>
      </c>
      <c r="F265" t="inlineStr">
        <is>
          <t>KRONOBERGS LÄN</t>
        </is>
      </c>
      <c r="G265" t="inlineStr">
        <is>
          <t>ALVESTA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46289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45359</v>
      </c>
      <c r="E267" s="1" t="n">
        <v>46289</v>
      </c>
      <c r="F267" t="inlineStr">
        <is>
          <t>KRONOBERGS LÄN</t>
        </is>
      </c>
      <c r="G267" t="inlineStr">
        <is>
          <t>ALVESTA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46289</v>
      </c>
      <c r="F268" t="inlineStr">
        <is>
          <t>KRONOBERGS LÄN</t>
        </is>
      </c>
      <c r="G268" t="inlineStr">
        <is>
          <t>ALVESTA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46289</v>
      </c>
      <c r="F269" t="inlineStr">
        <is>
          <t>KRONOBERGS LÄN</t>
        </is>
      </c>
      <c r="G269" t="inlineStr">
        <is>
          <t>ALVESTA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45699</v>
      </c>
      <c r="E270" s="1" t="n">
        <v>46289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53226-2024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45613</v>
      </c>
      <c r="E271" s="1" t="n">
        <v>46289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45328</v>
      </c>
      <c r="E272" s="1" t="n">
        <v>46289</v>
      </c>
      <c r="F272" t="inlineStr">
        <is>
          <t>KRONOBERGS LÄN</t>
        </is>
      </c>
      <c r="G272" t="inlineStr">
        <is>
          <t>ALVESTA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46289</v>
      </c>
      <c r="F273" t="inlineStr">
        <is>
          <t>KRONOBERGS LÄN</t>
        </is>
      </c>
      <c r="G273" t="inlineStr">
        <is>
          <t>ALVESTA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46289</v>
      </c>
      <c r="F274" t="inlineStr">
        <is>
          <t>KRONOBERGS LÄN</t>
        </is>
      </c>
      <c r="G274" t="inlineStr">
        <is>
          <t>ALVESTA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45632</v>
      </c>
      <c r="E275" s="1" t="n">
        <v>46289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44838</v>
      </c>
      <c r="E276" s="1" t="n">
        <v>46289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46289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46289</v>
      </c>
      <c r="F278" t="inlineStr">
        <is>
          <t>KRONOBERGS LÄN</t>
        </is>
      </c>
      <c r="G278" t="inlineStr">
        <is>
          <t>ALVESTA</t>
        </is>
      </c>
      <c r="H278" t="inlineStr">
        <is>
          <t>Övriga Aktiebolag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45447</v>
      </c>
      <c r="E279" s="1" t="n">
        <v>46289</v>
      </c>
      <c r="F279" t="inlineStr">
        <is>
          <t>KRONOBERGS LÄN</t>
        </is>
      </c>
      <c r="G279" t="inlineStr">
        <is>
          <t>ALVESTA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46289</v>
      </c>
      <c r="F280" t="inlineStr">
        <is>
          <t>KRONOBERGS LÄN</t>
        </is>
      </c>
      <c r="G280" t="inlineStr">
        <is>
          <t>ALVESTA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46289</v>
      </c>
      <c r="F281" t="inlineStr">
        <is>
          <t>KRONOBERGS LÄN</t>
        </is>
      </c>
      <c r="G281" t="inlineStr">
        <is>
          <t>ALVESTA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760-2022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44569</v>
      </c>
      <c r="E282" s="1" t="n">
        <v>46289</v>
      </c>
      <c r="F282" t="inlineStr">
        <is>
          <t>KRONOBERGS LÄN</t>
        </is>
      </c>
      <c r="G282" t="inlineStr">
        <is>
          <t>ALVESTA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44606</v>
      </c>
      <c r="E283" s="1" t="n">
        <v>46289</v>
      </c>
      <c r="F283" t="inlineStr">
        <is>
          <t>KRONOBERGS LÄN</t>
        </is>
      </c>
      <c r="G283" t="inlineStr">
        <is>
          <t>ALVESTA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45733</v>
      </c>
      <c r="E284" s="1" t="n">
        <v>46289</v>
      </c>
      <c r="F284" t="inlineStr">
        <is>
          <t>KRONOBERGS LÄN</t>
        </is>
      </c>
      <c r="G284" t="inlineStr">
        <is>
          <t>ALVESTA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45565</v>
      </c>
      <c r="E285" s="1" t="n">
        <v>46289</v>
      </c>
      <c r="F285" t="inlineStr">
        <is>
          <t>KRONOBERGS LÄN</t>
        </is>
      </c>
      <c r="G285" t="inlineStr">
        <is>
          <t>ALVESTA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44600</v>
      </c>
      <c r="E286" s="1" t="n">
        <v>46289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44972</v>
      </c>
      <c r="E287" s="1" t="n">
        <v>46289</v>
      </c>
      <c r="F287" t="inlineStr">
        <is>
          <t>KRONOBERGS LÄN</t>
        </is>
      </c>
      <c r="G287" t="inlineStr">
        <is>
          <t>ALVESTA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46289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46289</v>
      </c>
      <c r="F289" t="inlineStr">
        <is>
          <t>KRONOBERGS LÄN</t>
        </is>
      </c>
      <c r="G289" t="inlineStr">
        <is>
          <t>ALVESTA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45471</v>
      </c>
      <c r="E290" s="1" t="n">
        <v>46289</v>
      </c>
      <c r="F290" t="inlineStr">
        <is>
          <t>KRONOBERGS LÄN</t>
        </is>
      </c>
      <c r="G290" t="inlineStr">
        <is>
          <t>ALVESTA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45471</v>
      </c>
      <c r="E291" s="1" t="n">
        <v>46289</v>
      </c>
      <c r="F291" t="inlineStr">
        <is>
          <t>KRONOBERGS LÄN</t>
        </is>
      </c>
      <c r="G291" t="inlineStr">
        <is>
          <t>ALVESTA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46289</v>
      </c>
      <c r="F292" t="inlineStr">
        <is>
          <t>KRONOBERGS LÄN</t>
        </is>
      </c>
      <c r="G292" t="inlineStr">
        <is>
          <t>ALVESTA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45338</v>
      </c>
      <c r="E293" s="1" t="n">
        <v>46289</v>
      </c>
      <c r="F293" t="inlineStr">
        <is>
          <t>KRONOBERGS LÄN</t>
        </is>
      </c>
      <c r="G293" t="inlineStr">
        <is>
          <t>ALVESTA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45338</v>
      </c>
      <c r="E294" s="1" t="n">
        <v>46289</v>
      </c>
      <c r="F294" t="inlineStr">
        <is>
          <t>KRONOBERGS LÄN</t>
        </is>
      </c>
      <c r="G294" t="inlineStr">
        <is>
          <t>ALVESTA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45345</v>
      </c>
      <c r="E295" s="1" t="n">
        <v>46289</v>
      </c>
      <c r="F295" t="inlineStr">
        <is>
          <t>KRONOBERGS LÄN</t>
        </is>
      </c>
      <c r="G295" t="inlineStr">
        <is>
          <t>ALVESTA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46289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46289</v>
      </c>
      <c r="F297" t="inlineStr">
        <is>
          <t>KRONOBERGS LÄN</t>
        </is>
      </c>
      <c r="G297" t="inlineStr">
        <is>
          <t>ALVESTA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67331-2021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44523</v>
      </c>
      <c r="E298" s="1" t="n">
        <v>46289</v>
      </c>
      <c r="F298" t="inlineStr">
        <is>
          <t>KRONOBERGS LÄN</t>
        </is>
      </c>
      <c r="G298" t="inlineStr">
        <is>
          <t>ALVESTA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44581</v>
      </c>
      <c r="E299" s="1" t="n">
        <v>46289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46289</v>
      </c>
      <c r="F300" t="inlineStr">
        <is>
          <t>KRONOBERGS LÄN</t>
        </is>
      </c>
      <c r="G300" t="inlineStr">
        <is>
          <t>ALVESTA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45182</v>
      </c>
      <c r="E301" s="1" t="n">
        <v>46289</v>
      </c>
      <c r="F301" t="inlineStr">
        <is>
          <t>KRONOBERGS LÄN</t>
        </is>
      </c>
      <c r="G301" t="inlineStr">
        <is>
          <t>ALVESTA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46289</v>
      </c>
      <c r="F302" t="inlineStr">
        <is>
          <t>KRONOBERGS LÄN</t>
        </is>
      </c>
      <c r="G302" t="inlineStr">
        <is>
          <t>ALVESTA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46289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46289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45259</v>
      </c>
      <c r="E305" s="1" t="n">
        <v>46289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46289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45680</v>
      </c>
      <c r="E307" s="1" t="n">
        <v>46289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44783</v>
      </c>
      <c r="E308" s="1" t="n">
        <v>46289</v>
      </c>
      <c r="F308" t="inlineStr">
        <is>
          <t>KRONOBERGS LÄN</t>
        </is>
      </c>
      <c r="G308" t="inlineStr">
        <is>
          <t>ALVESTA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46289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46289</v>
      </c>
      <c r="F310" t="inlineStr">
        <is>
          <t>KRONOBERGS LÄN</t>
        </is>
      </c>
      <c r="G310" t="inlineStr">
        <is>
          <t>ALVESTA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15262-2024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46289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46289</v>
      </c>
      <c r="F312" t="inlineStr">
        <is>
          <t>KRONOBERGS LÄN</t>
        </is>
      </c>
      <c r="G312" t="inlineStr">
        <is>
          <t>ALVESTA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46289</v>
      </c>
      <c r="F313" t="inlineStr">
        <is>
          <t>KRONOBERGS LÄN</t>
        </is>
      </c>
      <c r="G313" t="inlineStr">
        <is>
          <t>ALVESTA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46289</v>
      </c>
      <c r="F314" t="inlineStr">
        <is>
          <t>KRONOBERGS LÄN</t>
        </is>
      </c>
      <c r="G314" t="inlineStr">
        <is>
          <t>ALVESTA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46289</v>
      </c>
      <c r="F315" t="inlineStr">
        <is>
          <t>KRONOBERGS LÄN</t>
        </is>
      </c>
      <c r="G315" t="inlineStr">
        <is>
          <t>ALVESTA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46289</v>
      </c>
      <c r="F316" t="inlineStr">
        <is>
          <t>KRONOBERGS LÄN</t>
        </is>
      </c>
      <c r="G316" t="inlineStr">
        <is>
          <t>ALVESTA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46289</v>
      </c>
      <c r="F317" t="inlineStr">
        <is>
          <t>KRONOBERGS LÄN</t>
        </is>
      </c>
      <c r="G317" t="inlineStr">
        <is>
          <t>ALVESTA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45712</v>
      </c>
      <c r="E318" s="1" t="n">
        <v>46289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44735</v>
      </c>
      <c r="E319" s="1" t="n">
        <v>46289</v>
      </c>
      <c r="F319" t="inlineStr">
        <is>
          <t>KRONOBERGS LÄN</t>
        </is>
      </c>
      <c r="G319" t="inlineStr">
        <is>
          <t>ALVESTA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46289</v>
      </c>
      <c r="F320" t="inlineStr">
        <is>
          <t>KRONOBERGS LÄN</t>
        </is>
      </c>
      <c r="G320" t="inlineStr">
        <is>
          <t>ALVESTA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61902-2024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45653</v>
      </c>
      <c r="E321" s="1" t="n">
        <v>46289</v>
      </c>
      <c r="F321" t="inlineStr">
        <is>
          <t>KRONOBERGS LÄN</t>
        </is>
      </c>
      <c r="G321" t="inlineStr">
        <is>
          <t>ALVESTA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46289</v>
      </c>
      <c r="F322" t="inlineStr">
        <is>
          <t>KRONOBERGS LÄN</t>
        </is>
      </c>
      <c r="G322" t="inlineStr">
        <is>
          <t>ALVESTA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46289</v>
      </c>
      <c r="F323" t="inlineStr">
        <is>
          <t>KRONOBERGS LÄN</t>
        </is>
      </c>
      <c r="G323" t="inlineStr">
        <is>
          <t>ALVESTA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46289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46289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46289</v>
      </c>
      <c r="F326" t="inlineStr">
        <is>
          <t>KRONOBERGS LÄN</t>
        </is>
      </c>
      <c r="G326" t="inlineStr">
        <is>
          <t>ALVESTA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46289</v>
      </c>
      <c r="F327" t="inlineStr">
        <is>
          <t>KRONOBERGS LÄN</t>
        </is>
      </c>
      <c r="G327" t="inlineStr">
        <is>
          <t>ALVESTA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29163-2025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45821</v>
      </c>
      <c r="E328" s="1" t="n">
        <v>46289</v>
      </c>
      <c r="F328" t="inlineStr">
        <is>
          <t>KRONOBERGS LÄN</t>
        </is>
      </c>
      <c r="G328" t="inlineStr">
        <is>
          <t>ALVESTA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46289</v>
      </c>
      <c r="F329" t="inlineStr">
        <is>
          <t>KRONOBERGS LÄN</t>
        </is>
      </c>
      <c r="G329" t="inlineStr">
        <is>
          <t>ALVESTA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46289</v>
      </c>
      <c r="F330" t="inlineStr">
        <is>
          <t>KRONOBERGS LÄN</t>
        </is>
      </c>
      <c r="G330" t="inlineStr">
        <is>
          <t>ALVESTA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46289</v>
      </c>
      <c r="F331" t="inlineStr">
        <is>
          <t>KRONOBERGS LÄN</t>
        </is>
      </c>
      <c r="G331" t="inlineStr">
        <is>
          <t>ALVESTA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46289</v>
      </c>
      <c r="F332" t="inlineStr">
        <is>
          <t>KRONOBERGS LÄN</t>
        </is>
      </c>
      <c r="G332" t="inlineStr">
        <is>
          <t>ALVESTA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46289</v>
      </c>
      <c r="F333" t="inlineStr">
        <is>
          <t>KRONOBERGS LÄN</t>
        </is>
      </c>
      <c r="G333" t="inlineStr">
        <is>
          <t>ALVESTA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46289</v>
      </c>
      <c r="F334" t="inlineStr">
        <is>
          <t>KRONOBERGS LÄN</t>
        </is>
      </c>
      <c r="G334" t="inlineStr">
        <is>
          <t>ALVESTA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46289</v>
      </c>
      <c r="F335" t="inlineStr">
        <is>
          <t>KRONOBERGS LÄN</t>
        </is>
      </c>
      <c r="G335" t="inlineStr">
        <is>
          <t>ALVESTA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44991</v>
      </c>
      <c r="E336" s="1" t="n">
        <v>46289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44743</v>
      </c>
      <c r="E337" s="1" t="n">
        <v>46289</v>
      </c>
      <c r="F337" t="inlineStr">
        <is>
          <t>KRONOBERGS LÄN</t>
        </is>
      </c>
      <c r="G337" t="inlineStr">
        <is>
          <t>ALVESTA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44743</v>
      </c>
      <c r="E338" s="1" t="n">
        <v>46289</v>
      </c>
      <c r="F338" t="inlineStr">
        <is>
          <t>KRONOBERGS LÄN</t>
        </is>
      </c>
      <c r="G338" t="inlineStr">
        <is>
          <t>ALVESTA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45079</v>
      </c>
      <c r="E339" s="1" t="n">
        <v>46289</v>
      </c>
      <c r="F339" t="inlineStr">
        <is>
          <t>KRONOBERGS LÄN</t>
        </is>
      </c>
      <c r="G339" t="inlineStr">
        <is>
          <t>ALVESTA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46289</v>
      </c>
      <c r="F340" t="inlineStr">
        <is>
          <t>KRONOBERGS LÄN</t>
        </is>
      </c>
      <c r="G340" t="inlineStr">
        <is>
          <t>ALVESTA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46289</v>
      </c>
      <c r="F341" t="inlineStr">
        <is>
          <t>KRONOBERGS LÄN</t>
        </is>
      </c>
      <c r="G341" t="inlineStr">
        <is>
          <t>ALVESTA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44735</v>
      </c>
      <c r="E342" s="1" t="n">
        <v>46289</v>
      </c>
      <c r="F342" t="inlineStr">
        <is>
          <t>KRONOBERGS LÄN</t>
        </is>
      </c>
      <c r="G342" t="inlineStr">
        <is>
          <t>ALVESTA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46289</v>
      </c>
      <c r="F343" t="inlineStr">
        <is>
          <t>KRONOBERGS LÄN</t>
        </is>
      </c>
      <c r="G343" t="inlineStr">
        <is>
          <t>ALVESTA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46289</v>
      </c>
      <c r="F344" t="inlineStr">
        <is>
          <t>KRONOBERGS LÄN</t>
        </is>
      </c>
      <c r="G344" t="inlineStr">
        <is>
          <t>ALVESTA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44805</v>
      </c>
      <c r="E345" s="1" t="n">
        <v>46289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46289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39263-2023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45166</v>
      </c>
      <c r="E347" s="1" t="n">
        <v>46289</v>
      </c>
      <c r="F347" t="inlineStr">
        <is>
          <t>KRONOBERGS LÄN</t>
        </is>
      </c>
      <c r="G347" t="inlineStr">
        <is>
          <t>ALVESTA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65094-2023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45288</v>
      </c>
      <c r="E348" s="1" t="n">
        <v>46289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46289</v>
      </c>
      <c r="F349" t="inlineStr">
        <is>
          <t>KRONOBERGS LÄN</t>
        </is>
      </c>
      <c r="G349" t="inlineStr">
        <is>
          <t>ALVESTA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13126-2024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45385</v>
      </c>
      <c r="E350" s="1" t="n">
        <v>46289</v>
      </c>
      <c r="F350" t="inlineStr">
        <is>
          <t>KRONOBERGS LÄN</t>
        </is>
      </c>
      <c r="G350" t="inlineStr">
        <is>
          <t>ALVESTA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45308</v>
      </c>
      <c r="E351" s="1" t="n">
        <v>46289</v>
      </c>
      <c r="F351" t="inlineStr">
        <is>
          <t>KRONOBERGS LÄN</t>
        </is>
      </c>
      <c r="G351" t="inlineStr">
        <is>
          <t>ALVESTA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44747</v>
      </c>
      <c r="E352" s="1" t="n">
        <v>46289</v>
      </c>
      <c r="F352" t="inlineStr">
        <is>
          <t>KRONOBERGS LÄN</t>
        </is>
      </c>
      <c r="G352" t="inlineStr">
        <is>
          <t>ALVESTA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46289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46289</v>
      </c>
      <c r="F354" t="inlineStr">
        <is>
          <t>KRONOBERGS LÄN</t>
        </is>
      </c>
      <c r="G354" t="inlineStr">
        <is>
          <t>ALVESTA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46289</v>
      </c>
      <c r="F355" t="inlineStr">
        <is>
          <t>KRONOBERGS LÄN</t>
        </is>
      </c>
      <c r="G355" t="inlineStr">
        <is>
          <t>ALVESTA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46289</v>
      </c>
      <c r="F356" t="inlineStr">
        <is>
          <t>KRONOBERGS LÄN</t>
        </is>
      </c>
      <c r="G356" t="inlineStr">
        <is>
          <t>ALVESTA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45149</v>
      </c>
      <c r="E357" s="1" t="n">
        <v>46289</v>
      </c>
      <c r="F357" t="inlineStr">
        <is>
          <t>KRONOBERGS LÄN</t>
        </is>
      </c>
      <c r="G357" t="inlineStr">
        <is>
          <t>ALVESTA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46289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46289</v>
      </c>
      <c r="F359" t="inlineStr">
        <is>
          <t>KRONOBERGS LÄN</t>
        </is>
      </c>
      <c r="G359" t="inlineStr">
        <is>
          <t>ALVESTA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46289</v>
      </c>
      <c r="F360" t="inlineStr">
        <is>
          <t>KRONOBERGS LÄN</t>
        </is>
      </c>
      <c r="G360" t="inlineStr">
        <is>
          <t>ALVESTA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45614</v>
      </c>
      <c r="E361" s="1" t="n">
        <v>46289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46289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32760-2022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44783</v>
      </c>
      <c r="E363" s="1" t="n">
        <v>46289</v>
      </c>
      <c r="F363" t="inlineStr">
        <is>
          <t>KRONOBERGS LÄN</t>
        </is>
      </c>
      <c r="G363" t="inlineStr">
        <is>
          <t>ALVESTA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45996</v>
      </c>
      <c r="E364" s="1" t="n">
        <v>46289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45135</v>
      </c>
      <c r="E365" s="1" t="n">
        <v>46289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46289</v>
      </c>
      <c r="F366" t="inlineStr">
        <is>
          <t>KRONOBERGS LÄN</t>
        </is>
      </c>
      <c r="G366" t="inlineStr">
        <is>
          <t>ALVESTA</t>
        </is>
      </c>
      <c r="H366" t="inlineStr">
        <is>
          <t>Kyrkan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46289</v>
      </c>
      <c r="F367" t="inlineStr">
        <is>
          <t>KRONOBERGS LÄN</t>
        </is>
      </c>
      <c r="G367" t="inlineStr">
        <is>
          <t>ALVESTA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19286-2025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45769</v>
      </c>
      <c r="E368" s="1" t="n">
        <v>46289</v>
      </c>
      <c r="F368" t="inlineStr">
        <is>
          <t>KRONOBERGS LÄN</t>
        </is>
      </c>
      <c r="G368" t="inlineStr">
        <is>
          <t>ALVESTA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46289</v>
      </c>
      <c r="F369" t="inlineStr">
        <is>
          <t>KRONOBERGS LÄN</t>
        </is>
      </c>
      <c r="G369" t="inlineStr">
        <is>
          <t>ALVESTA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46289</v>
      </c>
      <c r="F370" t="inlineStr">
        <is>
          <t>KRONOBERGS LÄN</t>
        </is>
      </c>
      <c r="G370" t="inlineStr">
        <is>
          <t>ALVESTA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46289</v>
      </c>
      <c r="F371" t="inlineStr">
        <is>
          <t>KRONOBERGS LÄN</t>
        </is>
      </c>
      <c r="G371" t="inlineStr">
        <is>
          <t>ALVESTA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46289</v>
      </c>
      <c r="F372" t="inlineStr">
        <is>
          <t>KRONOBERGS LÄN</t>
        </is>
      </c>
      <c r="G372" t="inlineStr">
        <is>
          <t>ALVESTA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46289</v>
      </c>
      <c r="F373" t="inlineStr">
        <is>
          <t>KRONOBERGS LÄN</t>
        </is>
      </c>
      <c r="G373" t="inlineStr">
        <is>
          <t>ALVESTA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46289</v>
      </c>
      <c r="F374" t="inlineStr">
        <is>
          <t>KRONOBERGS LÄN</t>
        </is>
      </c>
      <c r="G374" t="inlineStr">
        <is>
          <t>ALVESTA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45336</v>
      </c>
      <c r="E375" s="1" t="n">
        <v>46289</v>
      </c>
      <c r="F375" t="inlineStr">
        <is>
          <t>KRONOBERGS LÄN</t>
        </is>
      </c>
      <c r="G375" t="inlineStr">
        <is>
          <t>ALVESTA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45349</v>
      </c>
      <c r="E376" s="1" t="n">
        <v>46289</v>
      </c>
      <c r="F376" t="inlineStr">
        <is>
          <t>KRONOBERGS LÄN</t>
        </is>
      </c>
      <c r="G376" t="inlineStr">
        <is>
          <t>ALVESTA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46289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46037</v>
      </c>
      <c r="E378" s="1" t="n">
        <v>46289</v>
      </c>
      <c r="F378" t="inlineStr">
        <is>
          <t>KRONOBERGS LÄN</t>
        </is>
      </c>
      <c r="G378" t="inlineStr">
        <is>
          <t>ALVESTA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46289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45330</v>
      </c>
      <c r="E380" s="1" t="n">
        <v>46289</v>
      </c>
      <c r="F380" t="inlineStr">
        <is>
          <t>KRONOBERGS LÄN</t>
        </is>
      </c>
      <c r="G380" t="inlineStr">
        <is>
          <t>ALVESTA</t>
        </is>
      </c>
      <c r="H380" t="inlineStr">
        <is>
          <t>Övriga Aktiebolag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44670</v>
      </c>
      <c r="E381" s="1" t="n">
        <v>46289</v>
      </c>
      <c r="F381" t="inlineStr">
        <is>
          <t>KRONOBERGS LÄN</t>
        </is>
      </c>
      <c r="G381" t="inlineStr">
        <is>
          <t>ALVESTA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46289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25261-2024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45462</v>
      </c>
      <c r="E383" s="1" t="n">
        <v>46289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46289</v>
      </c>
      <c r="F384" t="inlineStr">
        <is>
          <t>KRONOBERGS LÄN</t>
        </is>
      </c>
      <c r="G384" t="inlineStr">
        <is>
          <t>ALVESTA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46289</v>
      </c>
      <c r="F385" t="inlineStr">
        <is>
          <t>KRONOBERGS LÄN</t>
        </is>
      </c>
      <c r="G385" t="inlineStr">
        <is>
          <t>ALVESTA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45341</v>
      </c>
      <c r="E386" s="1" t="n">
        <v>46289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46289</v>
      </c>
      <c r="F387" t="inlineStr">
        <is>
          <t>KRONOBERGS LÄN</t>
        </is>
      </c>
      <c r="G387" t="inlineStr">
        <is>
          <t>ALVESTA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51274-2025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45949</v>
      </c>
      <c r="E388" s="1" t="n">
        <v>46289</v>
      </c>
      <c r="F388" t="inlineStr">
        <is>
          <t>KRONOBERGS LÄN</t>
        </is>
      </c>
      <c r="G388" t="inlineStr">
        <is>
          <t>ALVESTA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46289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46289</v>
      </c>
      <c r="F390" t="inlineStr">
        <is>
          <t>KRONOBERGS LÄN</t>
        </is>
      </c>
      <c r="G390" t="inlineStr">
        <is>
          <t>ALVESTA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46289</v>
      </c>
      <c r="F391" t="inlineStr">
        <is>
          <t>KRONOBERGS LÄN</t>
        </is>
      </c>
      <c r="G391" t="inlineStr">
        <is>
          <t>ALVESTA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46289</v>
      </c>
      <c r="F392" t="inlineStr">
        <is>
          <t>KRONOBERGS LÄN</t>
        </is>
      </c>
      <c r="G392" t="inlineStr">
        <is>
          <t>ALVESTA</t>
        </is>
      </c>
      <c r="H392" t="inlineStr">
        <is>
          <t>Kyrkan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46289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45136</v>
      </c>
      <c r="E394" s="1" t="n">
        <v>46289</v>
      </c>
      <c r="F394" t="inlineStr">
        <is>
          <t>KRONOBERGS LÄN</t>
        </is>
      </c>
      <c r="G394" t="inlineStr">
        <is>
          <t>ALVESTA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45216</v>
      </c>
      <c r="E395" s="1" t="n">
        <v>46289</v>
      </c>
      <c r="F395" t="inlineStr">
        <is>
          <t>KRONOBERGS LÄN</t>
        </is>
      </c>
      <c r="G395" t="inlineStr">
        <is>
          <t>ALVESTA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44895</v>
      </c>
      <c r="E396" s="1" t="n">
        <v>46289</v>
      </c>
      <c r="F396" t="inlineStr">
        <is>
          <t>KRONOBERGS LÄN</t>
        </is>
      </c>
      <c r="G396" t="inlineStr">
        <is>
          <t>ALVESTA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45595</v>
      </c>
      <c r="E397" s="1" t="n">
        <v>46289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46289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46286</v>
      </c>
      <c r="E399" s="1" t="n">
        <v>46289</v>
      </c>
      <c r="F399" t="inlineStr">
        <is>
          <t>KRONOBERGS LÄN</t>
        </is>
      </c>
      <c r="G399" t="inlineStr">
        <is>
          <t>ALVESTA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46286</v>
      </c>
      <c r="E400" s="1" t="n">
        <v>46289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38919-2026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46286</v>
      </c>
      <c r="E401" s="1" t="n">
        <v>46289</v>
      </c>
      <c r="F401" t="inlineStr">
        <is>
          <t>KRONOBERGS LÄN</t>
        </is>
      </c>
      <c r="G401" t="inlineStr">
        <is>
          <t>ALVESTA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44970</v>
      </c>
      <c r="E402" s="1" t="n">
        <v>46289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46241</v>
      </c>
      <c r="E403" s="1" t="n">
        <v>46289</v>
      </c>
      <c r="F403" t="inlineStr">
        <is>
          <t>KRONOBERGS LÄN</t>
        </is>
      </c>
      <c r="G403" t="inlineStr">
        <is>
          <t>ALVESTA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32799-2026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46241</v>
      </c>
      <c r="E404" s="1" t="n">
        <v>46289</v>
      </c>
      <c r="F404" t="inlineStr">
        <is>
          <t>KRONOBERGS LÄN</t>
        </is>
      </c>
      <c r="G404" t="inlineStr">
        <is>
          <t>ALVESTA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46289</v>
      </c>
      <c r="F405" t="inlineStr">
        <is>
          <t>KRONOBERGS LÄN</t>
        </is>
      </c>
      <c r="G405" t="inlineStr">
        <is>
          <t>ALVESTA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46289</v>
      </c>
      <c r="F406" t="inlineStr">
        <is>
          <t>KRONOBERGS LÄN</t>
        </is>
      </c>
      <c r="G406" t="inlineStr">
        <is>
          <t>ALVESTA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46286</v>
      </c>
      <c r="E407" s="1" t="n">
        <v>46289</v>
      </c>
      <c r="F407" t="inlineStr">
        <is>
          <t>KRONOBERGS LÄN</t>
        </is>
      </c>
      <c r="G407" t="inlineStr">
        <is>
          <t>ALVESTA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46241</v>
      </c>
      <c r="E408" s="1" t="n">
        <v>46289</v>
      </c>
      <c r="F408" t="inlineStr">
        <is>
          <t>KRONOBERGS LÄN</t>
        </is>
      </c>
      <c r="G408" t="inlineStr">
        <is>
          <t>ALVESTA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46241</v>
      </c>
      <c r="E409" s="1" t="n">
        <v>46289</v>
      </c>
      <c r="F409" t="inlineStr">
        <is>
          <t>KRONOBERGS LÄN</t>
        </is>
      </c>
      <c r="G409" t="inlineStr">
        <is>
          <t>ALVESTA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46241</v>
      </c>
      <c r="E410" s="1" t="n">
        <v>46289</v>
      </c>
      <c r="F410" t="inlineStr">
        <is>
          <t>KRONOBERGS LÄN</t>
        </is>
      </c>
      <c r="G410" t="inlineStr">
        <is>
          <t>ALVESTA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46241</v>
      </c>
      <c r="E411" s="1" t="n">
        <v>46289</v>
      </c>
      <c r="F411" t="inlineStr">
        <is>
          <t>KRONOBERGS LÄN</t>
        </is>
      </c>
      <c r="G411" t="inlineStr">
        <is>
          <t>ALVESTA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46286</v>
      </c>
      <c r="E412" s="1" t="n">
        <v>46289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46286</v>
      </c>
      <c r="E413" s="1" t="n">
        <v>46289</v>
      </c>
      <c r="F413" t="inlineStr">
        <is>
          <t>KRONOBERGS LÄN</t>
        </is>
      </c>
      <c r="G413" t="inlineStr">
        <is>
          <t>ALVESTA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46289</v>
      </c>
      <c r="F414" t="inlineStr">
        <is>
          <t>KRONOBERGS LÄN</t>
        </is>
      </c>
      <c r="G414" t="inlineStr">
        <is>
          <t>ALVESTA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46289</v>
      </c>
      <c r="F415" t="inlineStr">
        <is>
          <t>KRONOBERGS LÄN</t>
        </is>
      </c>
      <c r="G415" t="inlineStr">
        <is>
          <t>ALVESTA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7993-2026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46289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46289</v>
      </c>
      <c r="F417" t="inlineStr">
        <is>
          <t>KRONOBERGS LÄN</t>
        </is>
      </c>
      <c r="G417" t="inlineStr">
        <is>
          <t>ALVESTA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45532</v>
      </c>
      <c r="E418" s="1" t="n">
        <v>46289</v>
      </c>
      <c r="F418" t="inlineStr">
        <is>
          <t>KRONOBERGS LÄN</t>
        </is>
      </c>
      <c r="G418" t="inlineStr">
        <is>
          <t>ALVESTA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45324</v>
      </c>
      <c r="E419" s="1" t="n">
        <v>46289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46288</v>
      </c>
      <c r="E420" s="1" t="n">
        <v>46289</v>
      </c>
      <c r="F420" t="inlineStr">
        <is>
          <t>KRONOBERGS LÄN</t>
        </is>
      </c>
      <c r="G420" t="inlineStr">
        <is>
          <t>ALVESTA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11912-2022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44635</v>
      </c>
      <c r="E421" s="1" t="n">
        <v>46289</v>
      </c>
      <c r="F421" t="inlineStr">
        <is>
          <t>KRONOBERGS LÄN</t>
        </is>
      </c>
      <c r="G421" t="inlineStr">
        <is>
          <t>ALVESTA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46289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44935</v>
      </c>
      <c r="E423" s="1" t="n">
        <v>46289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46289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46289</v>
      </c>
      <c r="F425" t="inlineStr">
        <is>
          <t>KRONOBERGS LÄN</t>
        </is>
      </c>
      <c r="G425" t="inlineStr">
        <is>
          <t>ALVESTA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45336</v>
      </c>
      <c r="E426" s="1" t="n">
        <v>46289</v>
      </c>
      <c r="F426" t="inlineStr">
        <is>
          <t>KRONOBERGS LÄN</t>
        </is>
      </c>
      <c r="G426" t="inlineStr">
        <is>
          <t>ALVESTA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32837-2026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46289</v>
      </c>
      <c r="F427" t="inlineStr">
        <is>
          <t>KRONOBERGS LÄN</t>
        </is>
      </c>
      <c r="G427" t="inlineStr">
        <is>
          <t>ALVESTA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20624-2024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45436</v>
      </c>
      <c r="E428" s="1" t="n">
        <v>46289</v>
      </c>
      <c r="F428" t="inlineStr">
        <is>
          <t>KRONOBERGS LÄN</t>
        </is>
      </c>
      <c r="G428" t="inlineStr">
        <is>
          <t>ALVESTA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46288</v>
      </c>
      <c r="E429" s="1" t="n">
        <v>46289</v>
      </c>
      <c r="F429" t="inlineStr">
        <is>
          <t>KRONOBERGS LÄN</t>
        </is>
      </c>
      <c r="G429" t="inlineStr">
        <is>
          <t>ALVESTA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11331-2026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46081</v>
      </c>
      <c r="E430" s="1" t="n">
        <v>46289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46289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46289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46289</v>
      </c>
      <c r="F433" t="inlineStr">
        <is>
          <t>KRONOBERGS LÄN</t>
        </is>
      </c>
      <c r="G433" t="inlineStr">
        <is>
          <t>ALVESTA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46246</v>
      </c>
      <c r="E434" s="1" t="n">
        <v>46289</v>
      </c>
      <c r="F434" t="inlineStr">
        <is>
          <t>KRONOBERGS LÄN</t>
        </is>
      </c>
      <c r="G434" t="inlineStr">
        <is>
          <t>ALVESTA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39033-2026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46287</v>
      </c>
      <c r="E435" s="1" t="n">
        <v>46289</v>
      </c>
      <c r="F435" t="inlineStr">
        <is>
          <t>KRONOBERGS LÄN</t>
        </is>
      </c>
      <c r="G435" t="inlineStr">
        <is>
          <t>ALVESTA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46289</v>
      </c>
      <c r="F436" t="inlineStr">
        <is>
          <t>KRONOBERGS LÄN</t>
        </is>
      </c>
      <c r="G436" t="inlineStr">
        <is>
          <t>ALVESTA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12258-2026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46087</v>
      </c>
      <c r="E437" s="1" t="n">
        <v>46289</v>
      </c>
      <c r="F437" t="inlineStr">
        <is>
          <t>KRONOBERGS LÄN</t>
        </is>
      </c>
      <c r="G437" t="inlineStr">
        <is>
          <t>ALVESTA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46289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46289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45040</v>
      </c>
      <c r="E440" s="1" t="n">
        <v>46289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46289</v>
      </c>
      <c r="F441" t="inlineStr">
        <is>
          <t>KRONOBERGS LÄN</t>
        </is>
      </c>
      <c r="G441" t="inlineStr">
        <is>
          <t>ALVESTA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72318-2021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44545</v>
      </c>
      <c r="E442" s="1" t="n">
        <v>46289</v>
      </c>
      <c r="F442" t="inlineStr">
        <is>
          <t>KRONOBERGS LÄN</t>
        </is>
      </c>
      <c r="G442" t="inlineStr">
        <is>
          <t>ALVESTA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44938</v>
      </c>
      <c r="E443" s="1" t="n">
        <v>46289</v>
      </c>
      <c r="F443" t="inlineStr">
        <is>
          <t>KRONOBERGS LÄN</t>
        </is>
      </c>
      <c r="G443" t="inlineStr">
        <is>
          <t>ALVESTA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44948</v>
      </c>
      <c r="E444" s="1" t="n">
        <v>46289</v>
      </c>
      <c r="F444" t="inlineStr">
        <is>
          <t>KRONOBERGS LÄN</t>
        </is>
      </c>
      <c r="G444" t="inlineStr">
        <is>
          <t>ALVESTA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45847</v>
      </c>
      <c r="E445" s="1" t="n">
        <v>46289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46289</v>
      </c>
      <c r="F446" t="inlineStr">
        <is>
          <t>KRONOBERGS LÄN</t>
        </is>
      </c>
      <c r="G446" t="inlineStr">
        <is>
          <t>ALVESTA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46289</v>
      </c>
      <c r="F447" t="inlineStr">
        <is>
          <t>KRONOBERGS LÄN</t>
        </is>
      </c>
      <c r="G447" t="inlineStr">
        <is>
          <t>ALVESTA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44657</v>
      </c>
      <c r="E448" s="1" t="n">
        <v>46289</v>
      </c>
      <c r="F448" t="inlineStr">
        <is>
          <t>KRONOBERGS LÄN</t>
        </is>
      </c>
      <c r="G448" t="inlineStr">
        <is>
          <t>ALVESTA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46289</v>
      </c>
      <c r="F449" t="inlineStr">
        <is>
          <t>KRONOBERGS LÄN</t>
        </is>
      </c>
      <c r="G449" t="inlineStr">
        <is>
          <t>ALVESTA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46289</v>
      </c>
      <c r="F450" t="inlineStr">
        <is>
          <t>KRONOBERGS LÄN</t>
        </is>
      </c>
      <c r="G450" t="inlineStr">
        <is>
          <t>ALVESTA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46289</v>
      </c>
      <c r="F451" t="inlineStr">
        <is>
          <t>KRONOBERGS LÄN</t>
        </is>
      </c>
      <c r="G451" t="inlineStr">
        <is>
          <t>ALVESTA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45852</v>
      </c>
      <c r="E452" s="1" t="n">
        <v>46289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46289</v>
      </c>
      <c r="F453" t="inlineStr">
        <is>
          <t>KRONOBERGS LÄN</t>
        </is>
      </c>
      <c r="G453" t="inlineStr">
        <is>
          <t>ALVESTA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25297-2023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45086</v>
      </c>
      <c r="E454" s="1" t="n">
        <v>46289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45436</v>
      </c>
      <c r="E455" s="1" t="n">
        <v>46289</v>
      </c>
      <c r="F455" t="inlineStr">
        <is>
          <t>KRONOBERGS LÄN</t>
        </is>
      </c>
      <c r="G455" t="inlineStr">
        <is>
          <t>ALVESTA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44943</v>
      </c>
      <c r="E456" s="1" t="n">
        <v>46289</v>
      </c>
      <c r="F456" t="inlineStr">
        <is>
          <t>KRONOBERGS LÄN</t>
        </is>
      </c>
      <c r="G456" t="inlineStr">
        <is>
          <t>ALVESTA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57118-2023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45245</v>
      </c>
      <c r="E457" s="1" t="n">
        <v>46289</v>
      </c>
      <c r="F457" t="inlineStr">
        <is>
          <t>KRONOBERGS LÄN</t>
        </is>
      </c>
      <c r="G457" t="inlineStr">
        <is>
          <t>ALVESTA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15533-2026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46289</v>
      </c>
      <c r="F458" t="inlineStr">
        <is>
          <t>KRONOBERGS LÄN</t>
        </is>
      </c>
      <c r="G458" t="inlineStr">
        <is>
          <t>ALVESTA</t>
        </is>
      </c>
      <c r="H458" t="inlineStr">
        <is>
          <t>Övriga Aktiebolag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46289</v>
      </c>
      <c r="F459" t="inlineStr">
        <is>
          <t>KRONOBERGS LÄN</t>
        </is>
      </c>
      <c r="G459" t="inlineStr">
        <is>
          <t>ALVESTA</t>
        </is>
      </c>
      <c r="H459" t="inlineStr">
        <is>
          <t>Övriga Aktiebolag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44935</v>
      </c>
      <c r="E460" s="1" t="n">
        <v>46289</v>
      </c>
      <c r="F460" t="inlineStr">
        <is>
          <t>KRONOBERGS LÄN</t>
        </is>
      </c>
      <c r="G460" t="inlineStr">
        <is>
          <t>ALVESTA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56552-2021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44480</v>
      </c>
      <c r="E461" s="1" t="n">
        <v>46289</v>
      </c>
      <c r="F461" t="inlineStr">
        <is>
          <t>KRONOBERGS LÄN</t>
        </is>
      </c>
      <c r="G461" t="inlineStr">
        <is>
          <t>ALVESTA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45155</v>
      </c>
      <c r="E462" s="1" t="n">
        <v>46289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60760-2022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44914</v>
      </c>
      <c r="E463" s="1" t="n">
        <v>46289</v>
      </c>
      <c r="F463" t="inlineStr">
        <is>
          <t>KRONOBERGS LÄN</t>
        </is>
      </c>
      <c r="G463" t="inlineStr">
        <is>
          <t>ALVESTA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45678</v>
      </c>
      <c r="E464" s="1" t="n">
        <v>46289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60202-2021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46289</v>
      </c>
      <c r="F465" t="inlineStr">
        <is>
          <t>KRONOBERGS LÄN</t>
        </is>
      </c>
      <c r="G465" t="inlineStr">
        <is>
          <t>ALVESTA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45547</v>
      </c>
      <c r="E466" s="1" t="n">
        <v>46289</v>
      </c>
      <c r="F466" t="inlineStr">
        <is>
          <t>KRONOBERGS LÄN</t>
        </is>
      </c>
      <c r="G466" t="inlineStr">
        <is>
          <t>ALVESTA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45628</v>
      </c>
      <c r="E467" s="1" t="n">
        <v>46289</v>
      </c>
      <c r="F467" t="inlineStr">
        <is>
          <t>KRONOBERGS LÄN</t>
        </is>
      </c>
      <c r="G467" t="inlineStr">
        <is>
          <t>ALVESTA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48692-2024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45593</v>
      </c>
      <c r="E468" s="1" t="n">
        <v>46289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45596</v>
      </c>
      <c r="E469" s="1" t="n">
        <v>46289</v>
      </c>
      <c r="F469" t="inlineStr">
        <is>
          <t>KRONOBERGS LÄN</t>
        </is>
      </c>
      <c r="G469" t="inlineStr">
        <is>
          <t>ALVESTA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46289</v>
      </c>
      <c r="F470" t="inlineStr">
        <is>
          <t>KRONOBERGS LÄN</t>
        </is>
      </c>
      <c r="G470" t="inlineStr">
        <is>
          <t>ALVESTA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46234-2023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45196</v>
      </c>
      <c r="E471" s="1" t="n">
        <v>46289</v>
      </c>
      <c r="F471" t="inlineStr">
        <is>
          <t>KRONOBERGS LÄN</t>
        </is>
      </c>
      <c r="G471" t="inlineStr">
        <is>
          <t>ALVESTA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44687</v>
      </c>
      <c r="E472" s="1" t="n">
        <v>46289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36345-2025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45868</v>
      </c>
      <c r="E473" s="1" t="n">
        <v>46289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46120</v>
      </c>
      <c r="E474" s="1" t="n">
        <v>46289</v>
      </c>
      <c r="F474" t="inlineStr">
        <is>
          <t>KRONOBERGS LÄN</t>
        </is>
      </c>
      <c r="G474" t="inlineStr">
        <is>
          <t>ALVESTA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45146</v>
      </c>
      <c r="E475" s="1" t="n">
        <v>46289</v>
      </c>
      <c r="F475" t="inlineStr">
        <is>
          <t>KRONOBERGS LÄN</t>
        </is>
      </c>
      <c r="G475" t="inlineStr">
        <is>
          <t>ALVESTA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44978</v>
      </c>
      <c r="E476" s="1" t="n">
        <v>46289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45467</v>
      </c>
      <c r="E477" s="1" t="n">
        <v>46289</v>
      </c>
      <c r="F477" t="inlineStr">
        <is>
          <t>KRONOBERGS LÄN</t>
        </is>
      </c>
      <c r="G477" t="inlineStr">
        <is>
          <t>ALVESTA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65092-2023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45288</v>
      </c>
      <c r="E478" s="1" t="n">
        <v>46289</v>
      </c>
      <c r="F478" t="inlineStr">
        <is>
          <t>KRONOBERGS LÄN</t>
        </is>
      </c>
      <c r="G478" t="inlineStr">
        <is>
          <t>ALVESTA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28529-2024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45478</v>
      </c>
      <c r="E479" s="1" t="n">
        <v>46289</v>
      </c>
      <c r="F479" t="inlineStr">
        <is>
          <t>KRONOBERGS LÄN</t>
        </is>
      </c>
      <c r="G479" t="inlineStr">
        <is>
          <t>ALVESTA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17823-2026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46122</v>
      </c>
      <c r="E480" s="1" t="n">
        <v>46289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17946-2026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46122</v>
      </c>
      <c r="E481" s="1" t="n">
        <v>46289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36909-2025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45874</v>
      </c>
      <c r="E482" s="1" t="n">
        <v>46289</v>
      </c>
      <c r="F482" t="inlineStr">
        <is>
          <t>KRONOBERGS LÄN</t>
        </is>
      </c>
      <c r="G482" t="inlineStr">
        <is>
          <t>ALVESTA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17801-2026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46122</v>
      </c>
      <c r="E483" s="1" t="n">
        <v>46289</v>
      </c>
      <c r="F483" t="inlineStr">
        <is>
          <t>KRONOBERGS LÄN</t>
        </is>
      </c>
      <c r="G483" t="inlineStr">
        <is>
          <t>ALVESTA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46289</v>
      </c>
      <c r="F484" t="inlineStr">
        <is>
          <t>KRONOBERGS LÄN</t>
        </is>
      </c>
      <c r="G484" t="inlineStr">
        <is>
          <t>ALVESTA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46289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9417-2024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46289</v>
      </c>
      <c r="F486" t="inlineStr">
        <is>
          <t>KRONOBERGS LÄN</t>
        </is>
      </c>
      <c r="G486" t="inlineStr">
        <is>
          <t>ALVESTA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44995</v>
      </c>
      <c r="E487" s="1" t="n">
        <v>46289</v>
      </c>
      <c r="F487" t="inlineStr">
        <is>
          <t>KRONOBERGS LÄN</t>
        </is>
      </c>
      <c r="G487" t="inlineStr">
        <is>
          <t>ALVESTA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16301-2024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45407</v>
      </c>
      <c r="E488" s="1" t="n">
        <v>46289</v>
      </c>
      <c r="F488" t="inlineStr">
        <is>
          <t>KRONOBERGS LÄN</t>
        </is>
      </c>
      <c r="G488" t="inlineStr">
        <is>
          <t>ALVESTA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46129</v>
      </c>
      <c r="E489" s="1" t="n">
        <v>46289</v>
      </c>
      <c r="F489" t="inlineStr">
        <is>
          <t>KRONOBERGS LÄN</t>
        </is>
      </c>
      <c r="G489" t="inlineStr">
        <is>
          <t>ALVESTA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46129</v>
      </c>
      <c r="E490" s="1" t="n">
        <v>46289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46289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45673</v>
      </c>
      <c r="E492" s="1" t="n">
        <v>46289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45706</v>
      </c>
      <c r="E493" s="1" t="n">
        <v>46289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29579-2022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44754</v>
      </c>
      <c r="E494" s="1" t="n">
        <v>46289</v>
      </c>
      <c r="F494" t="inlineStr">
        <is>
          <t>KRONOBERGS LÄN</t>
        </is>
      </c>
      <c r="G494" t="inlineStr">
        <is>
          <t>ALVESTA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18856-2026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46129</v>
      </c>
      <c r="E495" s="1" t="n">
        <v>46289</v>
      </c>
      <c r="F495" t="inlineStr">
        <is>
          <t>KRONOBERGS LÄN</t>
        </is>
      </c>
      <c r="G495" t="inlineStr">
        <is>
          <t>ALVESTA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45210</v>
      </c>
      <c r="E496" s="1" t="n">
        <v>46289</v>
      </c>
      <c r="F496" t="inlineStr">
        <is>
          <t>KRONOBERGS LÄN</t>
        </is>
      </c>
      <c r="G496" t="inlineStr">
        <is>
          <t>ALVESTA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46289</v>
      </c>
      <c r="F497" t="inlineStr">
        <is>
          <t>KRONOBERGS LÄN</t>
        </is>
      </c>
      <c r="G497" t="inlineStr">
        <is>
          <t>ALVESTA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45128</v>
      </c>
      <c r="E498" s="1" t="n">
        <v>46289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46289</v>
      </c>
      <c r="F499" t="inlineStr">
        <is>
          <t>KRONOBERGS LÄN</t>
        </is>
      </c>
      <c r="G499" t="inlineStr">
        <is>
          <t>ALVESTA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45692</v>
      </c>
      <c r="E500" s="1" t="n">
        <v>46289</v>
      </c>
      <c r="F500" t="inlineStr">
        <is>
          <t>KRONOBERGS LÄN</t>
        </is>
      </c>
      <c r="G500" t="inlineStr">
        <is>
          <t>ALVESTA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45300</v>
      </c>
      <c r="E501" s="1" t="n">
        <v>46289</v>
      </c>
      <c r="F501" t="inlineStr">
        <is>
          <t>KRONOBERGS LÄN</t>
        </is>
      </c>
      <c r="G501" t="inlineStr">
        <is>
          <t>ALVESTA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45159</v>
      </c>
      <c r="E502" s="1" t="n">
        <v>46289</v>
      </c>
      <c r="F502" t="inlineStr">
        <is>
          <t>KRONOBERGS LÄN</t>
        </is>
      </c>
      <c r="G502" t="inlineStr">
        <is>
          <t>ALVESTA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45874</v>
      </c>
      <c r="E503" s="1" t="n">
        <v>46289</v>
      </c>
      <c r="F503" t="inlineStr">
        <is>
          <t>KRONOBERGS LÄN</t>
        </is>
      </c>
      <c r="G503" t="inlineStr">
        <is>
          <t>ALVESTA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46289</v>
      </c>
      <c r="F504" t="inlineStr">
        <is>
          <t>KRONOBERGS LÄN</t>
        </is>
      </c>
      <c r="G504" t="inlineStr">
        <is>
          <t>ALVESTA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45884</v>
      </c>
      <c r="E505" s="1" t="n">
        <v>46289</v>
      </c>
      <c r="F505" t="inlineStr">
        <is>
          <t>KRONOBERGS LÄN</t>
        </is>
      </c>
      <c r="G505" t="inlineStr">
        <is>
          <t>ALVESTA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37091-2025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46289</v>
      </c>
      <c r="F506" t="inlineStr">
        <is>
          <t>KRONOBERGS LÄN</t>
        </is>
      </c>
      <c r="G506" t="inlineStr">
        <is>
          <t>ALVESTA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46136</v>
      </c>
      <c r="E507" s="1" t="n">
        <v>46289</v>
      </c>
      <c r="F507" t="inlineStr">
        <is>
          <t>KRONOBERGS LÄN</t>
        </is>
      </c>
      <c r="G507" t="inlineStr">
        <is>
          <t>ALVESTA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45189</v>
      </c>
      <c r="E508" s="1" t="n">
        <v>46289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45818</v>
      </c>
      <c r="E509" s="1" t="n">
        <v>46289</v>
      </c>
      <c r="F509" t="inlineStr">
        <is>
          <t>KRONOBERGS LÄN</t>
        </is>
      </c>
      <c r="G509" t="inlineStr">
        <is>
          <t>ALVESTA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46289</v>
      </c>
      <c r="F510" t="inlineStr">
        <is>
          <t>KRONOBERGS LÄN</t>
        </is>
      </c>
      <c r="G510" t="inlineStr">
        <is>
          <t>ALVESTA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45666</v>
      </c>
      <c r="E511" s="1" t="n">
        <v>46289</v>
      </c>
      <c r="F511" t="inlineStr">
        <is>
          <t>KRONOBERGS LÄN</t>
        </is>
      </c>
      <c r="G511" t="inlineStr">
        <is>
          <t>ALVESTA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45909</v>
      </c>
      <c r="E512" s="1" t="n">
        <v>46289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40366-2023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46289</v>
      </c>
      <c r="F513" t="inlineStr">
        <is>
          <t>KRONOBERGS LÄN</t>
        </is>
      </c>
      <c r="G513" t="inlineStr">
        <is>
          <t>ALVESTA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50852-2025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45946</v>
      </c>
      <c r="E514" s="1" t="n">
        <v>46289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12298-2023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44998</v>
      </c>
      <c r="E515" s="1" t="n">
        <v>46289</v>
      </c>
      <c r="F515" t="inlineStr">
        <is>
          <t>KRONOBERGS LÄN</t>
        </is>
      </c>
      <c r="G515" t="inlineStr">
        <is>
          <t>ALVESTA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45385</v>
      </c>
      <c r="E516" s="1" t="n">
        <v>46289</v>
      </c>
      <c r="F516" t="inlineStr">
        <is>
          <t>KRONOBERGS LÄN</t>
        </is>
      </c>
      <c r="G516" t="inlineStr">
        <is>
          <t>ALVESTA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46289</v>
      </c>
      <c r="F517" t="inlineStr">
        <is>
          <t>KRONOBERGS LÄN</t>
        </is>
      </c>
      <c r="G517" t="inlineStr">
        <is>
          <t>ALVESTA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44951</v>
      </c>
      <c r="E518" s="1" t="n">
        <v>46289</v>
      </c>
      <c r="F518" t="inlineStr">
        <is>
          <t>KRONOBERGS LÄN</t>
        </is>
      </c>
      <c r="G518" t="inlineStr">
        <is>
          <t>ALVESTA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46289</v>
      </c>
      <c r="F519" t="inlineStr">
        <is>
          <t>KRONOBERGS LÄN</t>
        </is>
      </c>
      <c r="G519" t="inlineStr">
        <is>
          <t>ALVESTA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45708</v>
      </c>
      <c r="E520" s="1" t="n">
        <v>46289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46289</v>
      </c>
      <c r="F521" t="inlineStr">
        <is>
          <t>KRONOBERGS LÄN</t>
        </is>
      </c>
      <c r="G521" t="inlineStr">
        <is>
          <t>ALVESTA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45254</v>
      </c>
      <c r="E522" s="1" t="n">
        <v>46289</v>
      </c>
      <c r="F522" t="inlineStr">
        <is>
          <t>KRONOBERGS LÄN</t>
        </is>
      </c>
      <c r="G522" t="inlineStr">
        <is>
          <t>ALVESTA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45336</v>
      </c>
      <c r="E523" s="1" t="n">
        <v>46289</v>
      </c>
      <c r="F523" t="inlineStr">
        <is>
          <t>KRONOBERGS LÄN</t>
        </is>
      </c>
      <c r="G523" t="inlineStr">
        <is>
          <t>ALVESTA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46289</v>
      </c>
      <c r="F524" t="inlineStr">
        <is>
          <t>KRONOBERGS LÄN</t>
        </is>
      </c>
      <c r="G524" t="inlineStr">
        <is>
          <t>ALVESTA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45840</v>
      </c>
      <c r="E525" s="1" t="n">
        <v>46289</v>
      </c>
      <c r="F525" t="inlineStr">
        <is>
          <t>KRONOBERGS LÄN</t>
        </is>
      </c>
      <c r="G525" t="inlineStr">
        <is>
          <t>ALVESTA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20220-2026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46139</v>
      </c>
      <c r="E526" s="1" t="n">
        <v>46289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46289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45858</v>
      </c>
      <c r="E528" s="1" t="n">
        <v>46289</v>
      </c>
      <c r="F528" t="inlineStr">
        <is>
          <t>KRONOBERGS LÄN</t>
        </is>
      </c>
      <c r="G528" t="inlineStr">
        <is>
          <t>ALVESTA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45407</v>
      </c>
      <c r="E529" s="1" t="n">
        <v>46289</v>
      </c>
      <c r="F529" t="inlineStr">
        <is>
          <t>KRONOBERGS LÄN</t>
        </is>
      </c>
      <c r="G529" t="inlineStr">
        <is>
          <t>ALVESTA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20180-2023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45055</v>
      </c>
      <c r="E530" s="1" t="n">
        <v>46289</v>
      </c>
      <c r="F530" t="inlineStr">
        <is>
          <t>KRONOBERGS LÄN</t>
        </is>
      </c>
      <c r="G530" t="inlineStr">
        <is>
          <t>ALVESTA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29097-2023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45105</v>
      </c>
      <c r="E531" s="1" t="n">
        <v>46289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58641-2024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46289</v>
      </c>
      <c r="F532" t="inlineStr">
        <is>
          <t>KRONOBERGS LÄN</t>
        </is>
      </c>
      <c r="G532" t="inlineStr">
        <is>
          <t>ALVESTA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45032</v>
      </c>
      <c r="E533" s="1" t="n">
        <v>46289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49600-2024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45596</v>
      </c>
      <c r="E534" s="1" t="n">
        <v>46289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31855-2023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45106</v>
      </c>
      <c r="E535" s="1" t="n">
        <v>46289</v>
      </c>
      <c r="F535" t="inlineStr">
        <is>
          <t>KRONOBERGS LÄN</t>
        </is>
      </c>
      <c r="G535" t="inlineStr">
        <is>
          <t>ALVESTA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44620</v>
      </c>
      <c r="E536" s="1" t="n">
        <v>46289</v>
      </c>
      <c r="F536" t="inlineStr">
        <is>
          <t>KRONOBERGS LÄN</t>
        </is>
      </c>
      <c r="G536" t="inlineStr">
        <is>
          <t>ALVESTA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45362</v>
      </c>
      <c r="E537" s="1" t="n">
        <v>46289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60559-2022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44911</v>
      </c>
      <c r="E538" s="1" t="n">
        <v>46289</v>
      </c>
      <c r="F538" t="inlineStr">
        <is>
          <t>KRONOBERGS LÄN</t>
        </is>
      </c>
      <c r="G538" t="inlineStr">
        <is>
          <t>ALVESTA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1927-2024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45308</v>
      </c>
      <c r="E539" s="1" t="n">
        <v>46289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45544</v>
      </c>
      <c r="E540" s="1" t="n">
        <v>46289</v>
      </c>
      <c r="F540" t="inlineStr">
        <is>
          <t>KRONOBERGS LÄN</t>
        </is>
      </c>
      <c r="G540" t="inlineStr">
        <is>
          <t>ALVESTA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45834</v>
      </c>
      <c r="E541" s="1" t="n">
        <v>46289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46289</v>
      </c>
      <c r="F542" t="inlineStr">
        <is>
          <t>KRONOBERGS LÄN</t>
        </is>
      </c>
      <c r="G542" t="inlineStr">
        <is>
          <t>ALVESTA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44994</v>
      </c>
      <c r="E543" s="1" t="n">
        <v>46289</v>
      </c>
      <c r="F543" t="inlineStr">
        <is>
          <t>KRONOBERGS LÄN</t>
        </is>
      </c>
      <c r="G543" t="inlineStr">
        <is>
          <t>ALVESTA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46289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45530</v>
      </c>
      <c r="E545" s="1" t="n">
        <v>46289</v>
      </c>
      <c r="F545" t="inlineStr">
        <is>
          <t>KRONOBERGS LÄN</t>
        </is>
      </c>
      <c r="G545" t="inlineStr">
        <is>
          <t>ALVESTA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46289</v>
      </c>
      <c r="F546" t="inlineStr">
        <is>
          <t>KRONOBERGS LÄN</t>
        </is>
      </c>
      <c r="G546" t="inlineStr">
        <is>
          <t>ALVESTA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46289</v>
      </c>
      <c r="F547" t="inlineStr">
        <is>
          <t>KRONOBERGS LÄN</t>
        </is>
      </c>
      <c r="G547" t="inlineStr">
        <is>
          <t>ALVESTA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61282-2023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46289</v>
      </c>
      <c r="F548" t="inlineStr">
        <is>
          <t>KRONOBERGS LÄN</t>
        </is>
      </c>
      <c r="G548" t="inlineStr">
        <is>
          <t>ALVESTA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45358</v>
      </c>
      <c r="E549" s="1" t="n">
        <v>46289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44958</v>
      </c>
      <c r="E550" s="1" t="n">
        <v>46289</v>
      </c>
      <c r="F550" t="inlineStr">
        <is>
          <t>KRONOBERGS LÄN</t>
        </is>
      </c>
      <c r="G550" t="inlineStr">
        <is>
          <t>ALVESTA</t>
        </is>
      </c>
      <c r="H550" t="inlineStr">
        <is>
          <t>Kommuner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20926-2026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46289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45043</v>
      </c>
      <c r="E552" s="1" t="n">
        <v>46289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44812</v>
      </c>
      <c r="E553" s="1" t="n">
        <v>46289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45418</v>
      </c>
      <c r="E554" s="1" t="n">
        <v>46289</v>
      </c>
      <c r="F554" t="inlineStr">
        <is>
          <t>KRONOBERGS LÄN</t>
        </is>
      </c>
      <c r="G554" t="inlineStr">
        <is>
          <t>ALVESTA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39501-2024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45551</v>
      </c>
      <c r="E555" s="1" t="n">
        <v>46289</v>
      </c>
      <c r="F555" t="inlineStr">
        <is>
          <t>KRONOBERGS LÄN</t>
        </is>
      </c>
      <c r="G555" t="inlineStr">
        <is>
          <t>ALVESTA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46289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46289</v>
      </c>
      <c r="F557" t="inlineStr">
        <is>
          <t>KRONOBERGS LÄN</t>
        </is>
      </c>
      <c r="G557" t="inlineStr">
        <is>
          <t>ALVESTA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46289</v>
      </c>
      <c r="F558" t="inlineStr">
        <is>
          <t>KRONOBERGS LÄN</t>
        </is>
      </c>
      <c r="G558" t="inlineStr">
        <is>
          <t>ALVESTA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46289</v>
      </c>
      <c r="F559" t="inlineStr">
        <is>
          <t>KRONOBERGS LÄN</t>
        </is>
      </c>
      <c r="G559" t="inlineStr">
        <is>
          <t>ALVESTA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45700</v>
      </c>
      <c r="E560" s="1" t="n">
        <v>46289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53425-2025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45959</v>
      </c>
      <c r="E561" s="1" t="n">
        <v>46289</v>
      </c>
      <c r="F561" t="inlineStr">
        <is>
          <t>KRONOBERGS LÄN</t>
        </is>
      </c>
      <c r="G561" t="inlineStr">
        <is>
          <t>ALVESTA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45854</v>
      </c>
      <c r="E562" s="1" t="n">
        <v>46289</v>
      </c>
      <c r="F562" t="inlineStr">
        <is>
          <t>KRONOBERGS LÄN</t>
        </is>
      </c>
      <c r="G562" t="inlineStr">
        <is>
          <t>ALVESTA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45896</v>
      </c>
      <c r="E563" s="1" t="n">
        <v>46289</v>
      </c>
      <c r="F563" t="inlineStr">
        <is>
          <t>KRONOBERGS LÄN</t>
        </is>
      </c>
      <c r="G563" t="inlineStr">
        <is>
          <t>ALVESTA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45903</v>
      </c>
      <c r="E564" s="1" t="n">
        <v>46289</v>
      </c>
      <c r="F564" t="inlineStr">
        <is>
          <t>KRONOBERGS LÄN</t>
        </is>
      </c>
      <c r="G564" t="inlineStr">
        <is>
          <t>ALVESTA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46289</v>
      </c>
      <c r="F565" t="inlineStr">
        <is>
          <t>KRONOBERGS LÄN</t>
        </is>
      </c>
      <c r="G565" t="inlineStr">
        <is>
          <t>ALVESTA</t>
        </is>
      </c>
      <c r="I565" t="n">
        <v>10.2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46289</v>
      </c>
      <c r="F566" t="inlineStr">
        <is>
          <t>KRONOBERGS LÄN</t>
        </is>
      </c>
      <c r="G566" t="inlineStr">
        <is>
          <t>ALVESTA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46289</v>
      </c>
      <c r="F567" t="inlineStr">
        <is>
          <t>KRONOBERGS LÄN</t>
        </is>
      </c>
      <c r="G567" t="inlineStr">
        <is>
          <t>ALVESTA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24420-2026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46169</v>
      </c>
      <c r="E568" s="1" t="n">
        <v>46289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24419-2026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46169</v>
      </c>
      <c r="E569" s="1" t="n">
        <v>46289</v>
      </c>
      <c r="F569" t="inlineStr">
        <is>
          <t>KRONOBERGS LÄN</t>
        </is>
      </c>
      <c r="G569" t="inlineStr">
        <is>
          <t>ALVESTA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46289</v>
      </c>
      <c r="F570" t="inlineStr">
        <is>
          <t>KRONOBERGS LÄN</t>
        </is>
      </c>
      <c r="G570" t="inlineStr">
        <is>
          <t>ALVESTA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24692-2026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46171</v>
      </c>
      <c r="E571" s="1" t="n">
        <v>46289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46289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46289</v>
      </c>
      <c r="F573" t="inlineStr">
        <is>
          <t>KRONOBERGS LÄN</t>
        </is>
      </c>
      <c r="G573" t="inlineStr">
        <is>
          <t>ALVESTA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46289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46289</v>
      </c>
      <c r="F575" t="inlineStr">
        <is>
          <t>KRONOBERGS LÄN</t>
        </is>
      </c>
      <c r="G575" t="inlineStr">
        <is>
          <t>ALVESTA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46289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46289</v>
      </c>
      <c r="F577" t="inlineStr">
        <is>
          <t>KRONOBERGS LÄN</t>
        </is>
      </c>
      <c r="G577" t="inlineStr">
        <is>
          <t>ALVESTA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46289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27032-2026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46185</v>
      </c>
      <c r="E579" s="1" t="n">
        <v>46289</v>
      </c>
      <c r="F579" t="inlineStr">
        <is>
          <t>KRONOBERGS LÄN</t>
        </is>
      </c>
      <c r="G579" t="inlineStr">
        <is>
          <t>ALVESTA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27077-2026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46186</v>
      </c>
      <c r="E580" s="1" t="n">
        <v>46289</v>
      </c>
      <c r="F580" t="inlineStr">
        <is>
          <t>KRONOBERGS LÄN</t>
        </is>
      </c>
      <c r="G580" t="inlineStr">
        <is>
          <t>ALVESTA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46289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46289</v>
      </c>
      <c r="F582" t="inlineStr">
        <is>
          <t>KRONOBERGS LÄN</t>
        </is>
      </c>
      <c r="G582" t="inlineStr">
        <is>
          <t>ALVESTA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46289</v>
      </c>
      <c r="F583" t="inlineStr">
        <is>
          <t>KRONOBERGS LÄN</t>
        </is>
      </c>
      <c r="G583" t="inlineStr">
        <is>
          <t>ALVESTA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46289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46289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46289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46289</v>
      </c>
      <c r="F587" t="inlineStr">
        <is>
          <t>KRONOBERGS LÄN</t>
        </is>
      </c>
      <c r="G587" t="inlineStr">
        <is>
          <t>ALVESTA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46289</v>
      </c>
      <c r="F588" t="inlineStr">
        <is>
          <t>KRONOBERGS LÄN</t>
        </is>
      </c>
      <c r="G588" t="inlineStr">
        <is>
          <t>ALVESTA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46209</v>
      </c>
      <c r="E589" s="1" t="n">
        <v>46289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30314-2026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46289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33946-2026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46289</v>
      </c>
      <c r="F591" t="inlineStr">
        <is>
          <t>KRONOBERGS LÄN</t>
        </is>
      </c>
      <c r="G591" t="inlineStr">
        <is>
          <t>ALVESTA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46289</v>
      </c>
      <c r="F592" t="inlineStr">
        <is>
          <t>KRONOBERGS LÄN</t>
        </is>
      </c>
      <c r="G592" t="inlineStr">
        <is>
          <t>ALVESTA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46259</v>
      </c>
      <c r="E593" s="1" t="n">
        <v>46289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36640-2026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46272</v>
      </c>
      <c r="E594" s="1" t="n">
        <v>46289</v>
      </c>
      <c r="F594" t="inlineStr">
        <is>
          <t>KRONOBERGS LÄN</t>
        </is>
      </c>
      <c r="G594" t="inlineStr">
        <is>
          <t>ALVESTA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36565-2026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46269</v>
      </c>
      <c r="E595" s="1" t="n">
        <v>46289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46273</v>
      </c>
      <c r="E596" s="1" t="n">
        <v>46289</v>
      </c>
      <c r="F596" t="inlineStr">
        <is>
          <t>KRONOBERGS LÄN</t>
        </is>
      </c>
      <c r="G596" t="inlineStr">
        <is>
          <t>ALVESTA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46289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37095-2026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46274</v>
      </c>
      <c r="E598" s="1" t="n">
        <v>46289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46289</v>
      </c>
      <c r="F599" t="inlineStr">
        <is>
          <t>KRONOBERGS LÄN</t>
        </is>
      </c>
      <c r="G599" t="inlineStr">
        <is>
          <t>ALVESTA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37149-2026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46274</v>
      </c>
      <c r="E600" s="1" t="n">
        <v>46289</v>
      </c>
      <c r="F600" t="inlineStr">
        <is>
          <t>KRONOBERGS LÄN</t>
        </is>
      </c>
      <c r="G600" t="inlineStr">
        <is>
          <t>ALVESTA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46289</v>
      </c>
      <c r="F601" t="inlineStr">
        <is>
          <t>KRONOBERGS LÄN</t>
        </is>
      </c>
      <c r="G601" t="inlineStr">
        <is>
          <t>ALVESTA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38255-2026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46281</v>
      </c>
      <c r="E602" s="1" t="n">
        <v>46289</v>
      </c>
      <c r="F602" t="inlineStr">
        <is>
          <t>KRONOBERGS LÄN</t>
        </is>
      </c>
      <c r="G602" t="inlineStr">
        <is>
          <t>ALVESTA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38258-2026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46281</v>
      </c>
      <c r="E603" s="1" t="n">
        <v>46289</v>
      </c>
      <c r="F603" t="inlineStr">
        <is>
          <t>KRONOBERGS LÄN</t>
        </is>
      </c>
      <c r="G603" t="inlineStr">
        <is>
          <t>ALVESTA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46238</v>
      </c>
      <c r="E604" s="1" t="n">
        <v>46289</v>
      </c>
      <c r="F604" t="inlineStr">
        <is>
          <t>KRONOBERGS LÄN</t>
        </is>
      </c>
      <c r="G604" t="inlineStr">
        <is>
          <t>ALVESTA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46289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46289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46289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46289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46289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46289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46289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46289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46289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46289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46289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46289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46289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46289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46289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46289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46289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46289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46289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46289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46289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46289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46289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46289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46289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46289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46289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46289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46289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46289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2026-09-24T01:59:12Z</dcterms:created>
  <dcterms:modified xmlns:dcterms="http://purl.org/dc/terms/" xmlns:xsi="http://www.w3.org/2001/XMLSchema-instance" xsi:type="dcterms:W3CDTF">2026-09-24T01:59:12Z</dcterms:modified>
</cp:coreProperties>
</file>