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46300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46300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46300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46300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46300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46300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46300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46300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1811-2025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46300</v>
      </c>
      <c r="F22" t="inlineStr">
        <is>
          <t>KRONOBERGS LÄN</t>
        </is>
      </c>
      <c r="G22" t="inlineStr">
        <is>
          <t>ALVESTA</t>
        </is>
      </c>
      <c r="H22" t="inlineStr">
        <is>
          <t>Kyrkan</t>
        </is>
      </c>
      <c r="I22" t="n">
        <v>2.3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Blomkålssvamp
Spillkråka</t>
        </is>
      </c>
      <c r="W22">
        <f>HYPERLINK("https://klasma.github.io/Logging_0764/artfynd/A 1811-2025 artfynd.xlsx", "A 1811-2025")</f>
        <v/>
      </c>
      <c r="X22">
        <f>HYPERLINK("https://klasma.github.io/Logging_0764/kartor/A 1811-2025 karta.png", "A 1811-2025")</f>
        <v/>
      </c>
      <c r="Y22">
        <f>HYPERLINK("https://klasma.github.io/Logging_0764/kartor_geotiff/A 1811-2025 georefererad karta.tif", "A 1811-2025")</f>
        <v/>
      </c>
      <c r="AA22">
        <f>HYPERLINK("https://klasma.github.io/Logging_0764/klagomål/A 1811-2025 FSC-klagomål.docx", "A 1811-2025")</f>
        <v/>
      </c>
      <c r="AB22">
        <f>HYPERLINK("https://klasma.github.io/Logging_0764/klagomålsmail/A 1811-2025 FSC-klagomål mail.docx", "A 1811-2025")</f>
        <v/>
      </c>
      <c r="AC22">
        <f>HYPERLINK("https://klasma.github.io/Logging_0764/tillsyn/A 1811-2025 tillsynsbegäran.docx", "A 1811-2025")</f>
        <v/>
      </c>
      <c r="AD22">
        <f>HYPERLINK("https://klasma.github.io/Logging_0764/tillsynsmail/A 1811-2025 tillsynsbegäran mail.docx", "A 1811-2025")</f>
        <v/>
      </c>
      <c r="AE22">
        <f>HYPERLINK("https://klasma.github.io/Logging_0764/fåglar/A 1811-2025 prioriterade fågelarter.docx", "A 1811-2025")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46300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46300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46300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9407-2024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46300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Småvaxing
Toppvaxing</t>
        </is>
      </c>
      <c r="W26">
        <f>HYPERLINK("https://klasma.github.io/Logging_0764/artfynd/A 9407-2024 artfynd.xlsx", "A 9407-2024")</f>
        <v/>
      </c>
      <c r="X26">
        <f>HYPERLINK("https://klasma.github.io/Logging_0764/kartor/A 9407-2024 karta.png", "A 9407-2024")</f>
        <v/>
      </c>
      <c r="Y26">
        <f>HYPERLINK("https://klasma.github.io/Logging_0764/kartor_geotiff/A 9407-2024 georefererad karta.tif", "A 9407-2024")</f>
        <v/>
      </c>
      <c r="AA26">
        <f>HYPERLINK("https://klasma.github.io/Logging_0764/klagomål/A 9407-2024 FSC-klagomål.docx", "A 9407-2024")</f>
        <v/>
      </c>
      <c r="AB26">
        <f>HYPERLINK("https://klasma.github.io/Logging_0764/klagomålsmail/A 9407-2024 FSC-klagomål mail.docx", "A 9407-2024")</f>
        <v/>
      </c>
      <c r="AC26">
        <f>HYPERLINK("https://klasma.github.io/Logging_0764/tillsyn/A 9407-2024 tillsynsbegäran.docx", "A 9407-2024")</f>
        <v/>
      </c>
      <c r="AD26">
        <f>HYPERLINK("https://klasma.github.io/Logging_0764/tillsynsmail/A 9407-2024 tillsynsbegäran mail.docx", "A 9407-2024")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46300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46300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46300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46300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59362-2024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45638</v>
      </c>
      <c r="E31" s="1" t="n">
        <v>46300</v>
      </c>
      <c r="F31" t="inlineStr">
        <is>
          <t>KRONOBERGS LÄN</t>
        </is>
      </c>
      <c r="G31" t="inlineStr">
        <is>
          <t>ALVESTA</t>
        </is>
      </c>
      <c r="I31" t="n">
        <v>0.6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Brandticka
Västlig hakmossa</t>
        </is>
      </c>
      <c r="W31">
        <f>HYPERLINK("https://klasma.github.io/Logging_0764/artfynd/A 59362-2024 artfynd.xlsx", "A 59362-2024")</f>
        <v/>
      </c>
      <c r="X31">
        <f>HYPERLINK("https://klasma.github.io/Logging_0764/kartor/A 59362-2024 karta.png", "A 59362-2024")</f>
        <v/>
      </c>
      <c r="Y31">
        <f>HYPERLINK("https://klasma.github.io/Logging_0764/kartor_geotiff/A 59362-2024 georefererad karta.tif", "A 59362-2024")</f>
        <v/>
      </c>
      <c r="AA31">
        <f>HYPERLINK("https://klasma.github.io/Logging_0764/klagomål/A 59362-2024 FSC-klagomål.docx", "A 59362-2024")</f>
        <v/>
      </c>
      <c r="AB31">
        <f>HYPERLINK("https://klasma.github.io/Logging_0764/klagomålsmail/A 59362-2024 FSC-klagomål mail.docx", "A 59362-2024")</f>
        <v/>
      </c>
      <c r="AC31">
        <f>HYPERLINK("https://klasma.github.io/Logging_0764/tillsyn/A 59362-2024 tillsynsbegäran.docx", "A 59362-2024")</f>
        <v/>
      </c>
      <c r="AD31">
        <f>HYPERLINK("https://klasma.github.io/Logging_0764/tillsynsmail/A 59362-2024 tillsynsbegäran mail.docx", "A 59362-2024")</f>
        <v/>
      </c>
    </row>
    <row r="32" ht="15" customHeight="1">
      <c r="A32" t="inlineStr">
        <is>
          <t>A 28740-2024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46300</v>
      </c>
      <c r="F32" t="inlineStr">
        <is>
          <t>KRONOBERGS LÄN</t>
        </is>
      </c>
      <c r="G32" t="inlineStr">
        <is>
          <t>ALVESTA</t>
        </is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Revlummer</t>
        </is>
      </c>
      <c r="W32">
        <f>HYPERLINK("https://klasma.github.io/Logging_0764/artfynd/A 28740-2024 artfynd.xlsx", "A 28740-2024")</f>
        <v/>
      </c>
      <c r="X32">
        <f>HYPERLINK("https://klasma.github.io/Logging_0764/kartor/A 28740-2024 karta.png", "A 28740-2024")</f>
        <v/>
      </c>
      <c r="Y32">
        <f>HYPERLINK("https://klasma.github.io/Logging_0764/kartor_geotiff/A 28740-2024 georefererad karta.tif", "A 28740-2024")</f>
        <v/>
      </c>
      <c r="AA32">
        <f>HYPERLINK("https://klasma.github.io/Logging_0764/klagomål/A 28740-2024 FSC-klagomål.docx", "A 28740-2024")</f>
        <v/>
      </c>
      <c r="AB32">
        <f>HYPERLINK("https://klasma.github.io/Logging_0764/klagomålsmail/A 28740-2024 FSC-klagomål mail.docx", "A 28740-2024")</f>
        <v/>
      </c>
      <c r="AC32">
        <f>HYPERLINK("https://klasma.github.io/Logging_0764/tillsyn/A 28740-2024 tillsynsbegäran.docx", "A 28740-2024")</f>
        <v/>
      </c>
      <c r="AD32">
        <f>HYPERLINK("https://klasma.github.io/Logging_0764/tillsynsmail/A 28740-2024 tillsynsbegäran mail.docx", "A 28740-2024")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46300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46300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46300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46300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46300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46300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46300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29382-2023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46300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29382-2023 artfynd.xlsx", "A 29382-2023")</f>
        <v/>
      </c>
      <c r="X40">
        <f>HYPERLINK("https://klasma.github.io/Logging_0764/kartor/A 29382-2023 karta.png", "A 29382-2023")</f>
        <v/>
      </c>
      <c r="Y40">
        <f>HYPERLINK("https://klasma.github.io/Logging_0764/kartor_geotiff/A 29382-2023 georefererad karta.tif", "A 29382-2023")</f>
        <v/>
      </c>
      <c r="AA40">
        <f>HYPERLINK("https://klasma.github.io/Logging_0764/klagomål/A 29382-2023 FSC-klagomål.docx", "A 29382-2023")</f>
        <v/>
      </c>
      <c r="AB40">
        <f>HYPERLINK("https://klasma.github.io/Logging_0764/klagomålsmail/A 29382-2023 FSC-klagomål mail.docx", "A 29382-2023")</f>
        <v/>
      </c>
      <c r="AC40">
        <f>HYPERLINK("https://klasma.github.io/Logging_0764/tillsyn/A 29382-2023 tillsynsbegäran.docx", "A 29382-2023")</f>
        <v/>
      </c>
      <c r="AD40">
        <f>HYPERLINK("https://klasma.github.io/Logging_0764/tillsynsmail/A 29382-2023 tillsynsbegäran mail.docx", "A 29382-2023")</f>
        <v/>
      </c>
    </row>
    <row r="41" ht="15" customHeight="1">
      <c r="A41" t="inlineStr">
        <is>
          <t>A 12221-2024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46300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Brandticka</t>
        </is>
      </c>
      <c r="W41">
        <f>HYPERLINK("https://klasma.github.io/Logging_0764/artfynd/A 12221-2024 artfynd.xlsx", "A 12221-2024")</f>
        <v/>
      </c>
      <c r="X41">
        <f>HYPERLINK("https://klasma.github.io/Logging_0764/kartor/A 12221-2024 karta.png", "A 12221-2024")</f>
        <v/>
      </c>
      <c r="Y41">
        <f>HYPERLINK("https://klasma.github.io/Logging_0764/kartor_geotiff/A 12221-2024 georefererad karta.tif", "A 12221-2024")</f>
        <v/>
      </c>
      <c r="AA41">
        <f>HYPERLINK("https://klasma.github.io/Logging_0764/klagomål/A 12221-2024 FSC-klagomål.docx", "A 12221-2024")</f>
        <v/>
      </c>
      <c r="AB41">
        <f>HYPERLINK("https://klasma.github.io/Logging_0764/klagomålsmail/A 12221-2024 FSC-klagomål mail.docx", "A 12221-2024")</f>
        <v/>
      </c>
      <c r="AC41">
        <f>HYPERLINK("https://klasma.github.io/Logging_0764/tillsyn/A 12221-2024 tillsynsbegäran.docx", "A 12221-2024")</f>
        <v/>
      </c>
      <c r="AD41">
        <f>HYPERLINK("https://klasma.github.io/Logging_0764/tillsynsmail/A 12221-2024 tillsynsbegäran mail.docx", "A 12221-2024")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46300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46300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35279-2022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44798</v>
      </c>
      <c r="E44" s="1" t="n">
        <v>46300</v>
      </c>
      <c r="F44" t="inlineStr">
        <is>
          <t>KRONOBERGS LÄN</t>
        </is>
      </c>
      <c r="G44" t="inlineStr">
        <is>
          <t>ALVESTA</t>
        </is>
      </c>
      <c r="H44" t="inlineStr">
        <is>
          <t>Kyrkan</t>
        </is>
      </c>
      <c r="I44" t="n">
        <v>3.8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2</v>
      </c>
      <c r="V44" s="2" t="inlineStr">
        <is>
          <t>Knärot</t>
        </is>
      </c>
      <c r="W44">
        <f>HYPERLINK("https://klasma.github.io/Logging_0764/artfynd/A 35279-2022 artfynd.xlsx", "A 35279-2022")</f>
        <v/>
      </c>
      <c r="X44">
        <f>HYPERLINK("https://klasma.github.io/Logging_0764/kartor/A 35279-2022 karta.png", "A 35279-2022")</f>
        <v/>
      </c>
      <c r="Y44">
        <f>HYPERLINK("https://klasma.github.io/Logging_0764/kartor_geotiff/A 35279-2022 georefererad karta.tif", "A 35279-2022")</f>
        <v/>
      </c>
      <c r="Z44">
        <f>HYPERLINK("https://klasma.github.io/Logging_0764/knärot/A 35279-2022 karta knärot.png", "A 35279-2022")</f>
        <v/>
      </c>
      <c r="AA44">
        <f>HYPERLINK("https://klasma.github.io/Logging_0764/klagomål/A 35279-2022 FSC-klagomål.docx", "A 35279-2022")</f>
        <v/>
      </c>
      <c r="AB44">
        <f>HYPERLINK("https://klasma.github.io/Logging_0764/klagomålsmail/A 35279-2022 FSC-klagomål mail.docx", "A 35279-2022")</f>
        <v/>
      </c>
      <c r="AC44">
        <f>HYPERLINK("https://klasma.github.io/Logging_0764/tillsyn/A 35279-2022 tillsynsbegäran.docx", "A 35279-2022")</f>
        <v/>
      </c>
      <c r="AD44">
        <f>HYPERLINK("https://klasma.github.io/Logging_0764/tillsynsmail/A 35279-2022 tillsynsbegäran mail.docx", "A 35279-2022")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46300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47338-2022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46300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HYPERLINK("https://klasma.github.io/Logging_0764/artfynd/A 47338-2022 artfynd.xlsx", "A 47338-2022")</f>
        <v/>
      </c>
      <c r="X46">
        <f>HYPERLINK("https://klasma.github.io/Logging_0764/kartor/A 47338-2022 karta.png", "A 47338-2022")</f>
        <v/>
      </c>
      <c r="Y46">
        <f>HYPERLINK("https://klasma.github.io/Logging_0764/kartor_geotiff/A 47338-2022 georefererad karta.tif", "A 47338-2022")</f>
        <v/>
      </c>
      <c r="AA46">
        <f>HYPERLINK("https://klasma.github.io/Logging_0764/klagomål/A 47338-2022 FSC-klagomål.docx", "A 47338-2022")</f>
        <v/>
      </c>
      <c r="AB46">
        <f>HYPERLINK("https://klasma.github.io/Logging_0764/klagomålsmail/A 47338-2022 FSC-klagomål mail.docx", "A 47338-2022")</f>
        <v/>
      </c>
      <c r="AC46">
        <f>HYPERLINK("https://klasma.github.io/Logging_0764/tillsyn/A 47338-2022 tillsynsbegäran.docx", "A 47338-2022")</f>
        <v/>
      </c>
      <c r="AD46">
        <f>HYPERLINK("https://klasma.github.io/Logging_0764/tillsynsmail/A 47338-2022 tillsynsbegäran mail.docx", "A 47338-2022")</f>
        <v/>
      </c>
      <c r="AE46">
        <f>HYPERLINK("https://klasma.github.io/Logging_0764/fåglar/A 47338-2022 prioriterade fågelarter.docx", "A 47338-2022")</f>
        <v/>
      </c>
    </row>
    <row r="47" ht="15" customHeight="1">
      <c r="A47" t="inlineStr">
        <is>
          <t>A 55368-2025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46300</v>
      </c>
      <c r="F47" t="inlineStr">
        <is>
          <t>KRONOBERGS LÄN</t>
        </is>
      </c>
      <c r="G47" t="inlineStr">
        <is>
          <t>ALVESTA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HYPERLINK("https://klasma.github.io/Logging_0764/artfynd/A 55368-2025 artfynd.xlsx", "A 55368-2025")</f>
        <v/>
      </c>
      <c r="X47">
        <f>HYPERLINK("https://klasma.github.io/Logging_0764/kartor/A 55368-2025 karta.png", "A 55368-2025")</f>
        <v/>
      </c>
      <c r="Y47">
        <f>HYPERLINK("https://klasma.github.io/Logging_0764/kartor_geotiff/A 55368-2025 georefererad karta.tif", "A 55368-2025")</f>
        <v/>
      </c>
      <c r="AA47">
        <f>HYPERLINK("https://klasma.github.io/Logging_0764/klagomål/A 55368-2025 FSC-klagomål.docx", "A 55368-2025")</f>
        <v/>
      </c>
      <c r="AB47">
        <f>HYPERLINK("https://klasma.github.io/Logging_0764/klagomålsmail/A 55368-2025 FSC-klagomål mail.docx", "A 55368-2025")</f>
        <v/>
      </c>
      <c r="AC47">
        <f>HYPERLINK("https://klasma.github.io/Logging_0764/tillsyn/A 55368-2025 tillsynsbegäran.docx", "A 55368-2025")</f>
        <v/>
      </c>
      <c r="AD47">
        <f>HYPERLINK("https://klasma.github.io/Logging_0764/tillsynsmail/A 55368-2025 tillsynsbegäran mail.docx", "A 55368-2025")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46300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46300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45043</v>
      </c>
      <c r="E50" s="1" t="n">
        <v>46300</v>
      </c>
      <c r="F50" t="inlineStr">
        <is>
          <t>KRONOBERGS LÄN</t>
        </is>
      </c>
      <c r="G50" t="inlineStr">
        <is>
          <t>ALVESTA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Blomkålssvamp</t>
        </is>
      </c>
      <c r="W50">
        <f>HYPERLINK("https://klasma.github.io/Logging_0764/artfynd/A 18676-2023 artfynd.xlsx", "A 18676-2023")</f>
        <v/>
      </c>
      <c r="X50">
        <f>HYPERLINK("https://klasma.github.io/Logging_0764/kartor/A 18676-2023 karta.png", "A 18676-2023")</f>
        <v/>
      </c>
      <c r="Y50">
        <f>HYPERLINK("https://klasma.github.io/Logging_0764/kartor_geotiff/A 18676-2023 georefererad karta.tif", "A 18676-2023")</f>
        <v/>
      </c>
      <c r="AA50">
        <f>HYPERLINK("https://klasma.github.io/Logging_0764/klagomål/A 18676-2023 FSC-klagomål.docx", "A 18676-2023")</f>
        <v/>
      </c>
      <c r="AB50">
        <f>HYPERLINK("https://klasma.github.io/Logging_0764/klagomålsmail/A 18676-2023 FSC-klagomål mail.docx", "A 18676-2023")</f>
        <v/>
      </c>
      <c r="AC50">
        <f>HYPERLINK("https://klasma.github.io/Logging_0764/tillsyn/A 18676-2023 tillsynsbegäran.docx", "A 18676-2023")</f>
        <v/>
      </c>
      <c r="AD50">
        <f>HYPERLINK("https://klasma.github.io/Logging_0764/tillsynsmail/A 18676-2023 tillsynsbegäran mail.docx", "A 18676-2023")</f>
        <v/>
      </c>
    </row>
    <row r="51" ht="15" customHeight="1">
      <c r="A51" t="inlineStr">
        <is>
          <t>A 43766-2023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46300</v>
      </c>
      <c r="F51" t="inlineStr">
        <is>
          <t>KRONOBERGS LÄN</t>
        </is>
      </c>
      <c r="G51" t="inlineStr">
        <is>
          <t>ALVESTA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HYPERLINK("https://klasma.github.io/Logging_0764/artfynd/A 43766-2023 artfynd.xlsx", "A 43766-2023")</f>
        <v/>
      </c>
      <c r="X51">
        <f>HYPERLINK("https://klasma.github.io/Logging_0764/kartor/A 43766-2023 karta.png", "A 43766-2023")</f>
        <v/>
      </c>
      <c r="Y51">
        <f>HYPERLINK("https://klasma.github.io/Logging_0764/kartor_geotiff/A 43766-2023 georefererad karta.tif", "A 43766-2023")</f>
        <v/>
      </c>
      <c r="AA51">
        <f>HYPERLINK("https://klasma.github.io/Logging_0764/klagomål/A 43766-2023 FSC-klagomål.docx", "A 43766-2023")</f>
        <v/>
      </c>
      <c r="AB51">
        <f>HYPERLINK("https://klasma.github.io/Logging_0764/klagomålsmail/A 43766-2023 FSC-klagomål mail.docx", "A 43766-2023")</f>
        <v/>
      </c>
      <c r="AC51">
        <f>HYPERLINK("https://klasma.github.io/Logging_0764/tillsyn/A 43766-2023 tillsynsbegäran.docx", "A 43766-2023")</f>
        <v/>
      </c>
      <c r="AD51">
        <f>HYPERLINK("https://klasma.github.io/Logging_0764/tillsynsmail/A 43766-2023 tillsynsbegäran mail.docx", "A 43766-2023")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46300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46300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46300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46300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46300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46300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46300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46300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46300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46300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46300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46300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46300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46300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46300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46300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46300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46300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46300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46300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46300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46300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46300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46300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46300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46300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46300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46300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46300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46300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46300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46300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46300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46300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46300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46300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46300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46300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46300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46300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46300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46300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46300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46300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46300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46300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46300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46300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46300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46300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46300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46300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46300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46300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46300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45338</v>
      </c>
      <c r="E107" s="1" t="n">
        <v>46300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44656</v>
      </c>
      <c r="E108" s="1" t="n">
        <v>46300</v>
      </c>
      <c r="F108" t="inlineStr">
        <is>
          <t>KRONOBERGS LÄN</t>
        </is>
      </c>
      <c r="G108" t="inlineStr">
        <is>
          <t>ALVESTA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46300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46300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46300</v>
      </c>
      <c r="F111" t="inlineStr">
        <is>
          <t>KRONOBERGS LÄN</t>
        </is>
      </c>
      <c r="G111" t="inlineStr">
        <is>
          <t>ALVESTA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46300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46300</v>
      </c>
      <c r="F113" t="inlineStr">
        <is>
          <t>KRONOBERGS LÄN</t>
        </is>
      </c>
      <c r="G113" t="inlineStr">
        <is>
          <t>ALVESTA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44783</v>
      </c>
      <c r="E114" s="1" t="n">
        <v>46300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46300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46300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44569</v>
      </c>
      <c r="E117" s="1" t="n">
        <v>46300</v>
      </c>
      <c r="F117" t="inlineStr">
        <is>
          <t>KRONOBERGS LÄN</t>
        </is>
      </c>
      <c r="G117" t="inlineStr">
        <is>
          <t>ALVESTA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44783</v>
      </c>
      <c r="E118" s="1" t="n">
        <v>46300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46300</v>
      </c>
      <c r="F119" t="inlineStr">
        <is>
          <t>KRONOBERGS LÄN</t>
        </is>
      </c>
      <c r="G119" t="inlineStr">
        <is>
          <t>ALVESTA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46300</v>
      </c>
      <c r="F120" t="inlineStr">
        <is>
          <t>KRONOBERGS LÄN</t>
        </is>
      </c>
      <c r="G120" t="inlineStr">
        <is>
          <t>ALVESTA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46300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46300</v>
      </c>
      <c r="F122" t="inlineStr">
        <is>
          <t>KRONOBERGS LÄN</t>
        </is>
      </c>
      <c r="G122" t="inlineStr">
        <is>
          <t>ALVESTA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44985</v>
      </c>
      <c r="E123" s="1" t="n">
        <v>46300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46300</v>
      </c>
      <c r="F124" t="inlineStr">
        <is>
          <t>KRONOBERGS LÄN</t>
        </is>
      </c>
      <c r="G124" t="inlineStr">
        <is>
          <t>ALVESTA</t>
        </is>
      </c>
      <c r="H124" t="inlineStr">
        <is>
          <t>Övriga Aktiebolag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46300</v>
      </c>
      <c r="F125" t="inlineStr">
        <is>
          <t>KRONOBERGS LÄN</t>
        </is>
      </c>
      <c r="G125" t="inlineStr">
        <is>
          <t>ALVESTA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46300</v>
      </c>
      <c r="F126" t="inlineStr">
        <is>
          <t>KRONOBERGS LÄN</t>
        </is>
      </c>
      <c r="G126" t="inlineStr">
        <is>
          <t>ALVESTA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46300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46300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46300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46300</v>
      </c>
      <c r="F130" t="inlineStr">
        <is>
          <t>KRONOBERGS LÄN</t>
        </is>
      </c>
      <c r="G130" t="inlineStr">
        <is>
          <t>ALVESTA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46300</v>
      </c>
      <c r="F131" t="inlineStr">
        <is>
          <t>KRONOBERGS LÄN</t>
        </is>
      </c>
      <c r="G131" t="inlineStr">
        <is>
          <t>ALVESTA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46300</v>
      </c>
      <c r="F132" t="inlineStr">
        <is>
          <t>KRONOBERGS LÄN</t>
        </is>
      </c>
      <c r="G132" t="inlineStr">
        <is>
          <t>ALVESTA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46300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46300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44754</v>
      </c>
      <c r="E135" s="1" t="n">
        <v>46300</v>
      </c>
      <c r="F135" t="inlineStr">
        <is>
          <t>KRONOBERGS LÄN</t>
        </is>
      </c>
      <c r="G135" t="inlineStr">
        <is>
          <t>ALVESTA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45456</v>
      </c>
      <c r="E136" s="1" t="n">
        <v>46300</v>
      </c>
      <c r="F136" t="inlineStr">
        <is>
          <t>KRONOBERGS LÄN</t>
        </is>
      </c>
      <c r="G136" t="inlineStr">
        <is>
          <t>ALVESTA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45363</v>
      </c>
      <c r="E137" s="1" t="n">
        <v>46300</v>
      </c>
      <c r="F137" t="inlineStr">
        <is>
          <t>KRONOBERGS LÄN</t>
        </is>
      </c>
      <c r="G137" t="inlineStr">
        <is>
          <t>ALVESTA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46300</v>
      </c>
      <c r="F138" t="inlineStr">
        <is>
          <t>KRONOBERGS LÄN</t>
        </is>
      </c>
      <c r="G138" t="inlineStr">
        <is>
          <t>ALVESTA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46300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46300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45135</v>
      </c>
      <c r="E141" s="1" t="n">
        <v>46300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46300</v>
      </c>
      <c r="F142" t="inlineStr">
        <is>
          <t>KRONOBERGS LÄN</t>
        </is>
      </c>
      <c r="G142" t="inlineStr">
        <is>
          <t>ALVESTA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45247</v>
      </c>
      <c r="E143" s="1" t="n">
        <v>46300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46300</v>
      </c>
      <c r="F144" t="inlineStr">
        <is>
          <t>KRONOBERGS LÄN</t>
        </is>
      </c>
      <c r="G144" t="inlineStr">
        <is>
          <t>ALVESTA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45341</v>
      </c>
      <c r="E145" s="1" t="n">
        <v>46300</v>
      </c>
      <c r="F145" t="inlineStr">
        <is>
          <t>KRONOBERGS LÄN</t>
        </is>
      </c>
      <c r="G145" t="inlineStr">
        <is>
          <t>ALVESTA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46300</v>
      </c>
      <c r="F146" t="inlineStr">
        <is>
          <t>KRONOBERGS LÄN</t>
        </is>
      </c>
      <c r="G146" t="inlineStr">
        <is>
          <t>ALVESTA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46300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46300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60487-2023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45259</v>
      </c>
      <c r="E149" s="1" t="n">
        <v>46300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46300</v>
      </c>
      <c r="F150" t="inlineStr">
        <is>
          <t>KRONOBERGS LÄN</t>
        </is>
      </c>
      <c r="G150" t="inlineStr">
        <is>
          <t>ALVESTA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46300</v>
      </c>
      <c r="F151" t="inlineStr">
        <is>
          <t>KRONOBERGS LÄN</t>
        </is>
      </c>
      <c r="G151" t="inlineStr">
        <is>
          <t>ALVESTA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46300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46300</v>
      </c>
      <c r="F153" t="inlineStr">
        <is>
          <t>KRONOBERGS LÄN</t>
        </is>
      </c>
      <c r="G153" t="inlineStr">
        <is>
          <t>ALVESTA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46300</v>
      </c>
      <c r="F154" t="inlineStr">
        <is>
          <t>KRONOBERGS LÄN</t>
        </is>
      </c>
      <c r="G154" t="inlineStr">
        <is>
          <t>ALVESTA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46300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46300</v>
      </c>
      <c r="F156" t="inlineStr">
        <is>
          <t>KRONOBERGS LÄN</t>
        </is>
      </c>
      <c r="G156" t="inlineStr">
        <is>
          <t>ALVESTA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46300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46300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46300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46300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46300</v>
      </c>
      <c r="F161" t="inlineStr">
        <is>
          <t>KRONOBERGS LÄN</t>
        </is>
      </c>
      <c r="G161" t="inlineStr">
        <is>
          <t>ALVESTA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46300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46300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46300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46300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46300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46300</v>
      </c>
      <c r="F167" t="inlineStr">
        <is>
          <t>KRONOBERGS LÄN</t>
        </is>
      </c>
      <c r="G167" t="inlineStr">
        <is>
          <t>ALVESTA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46300</v>
      </c>
      <c r="F168" t="inlineStr">
        <is>
          <t>KRONOBERGS LÄN</t>
        </is>
      </c>
      <c r="G168" t="inlineStr">
        <is>
          <t>ALVESTA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46300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46300</v>
      </c>
      <c r="F170" t="inlineStr">
        <is>
          <t>KRONOBERGS LÄN</t>
        </is>
      </c>
      <c r="G170" t="inlineStr">
        <is>
          <t>ALVESTA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46300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46300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45391</v>
      </c>
      <c r="E173" s="1" t="n">
        <v>46300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46300</v>
      </c>
      <c r="F174" t="inlineStr">
        <is>
          <t>KRONOBERGS LÄN</t>
        </is>
      </c>
      <c r="G174" t="inlineStr">
        <is>
          <t>ALVESTA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45418</v>
      </c>
      <c r="E175" s="1" t="n">
        <v>46300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46300</v>
      </c>
      <c r="F176" t="inlineStr">
        <is>
          <t>KRONOBERGS LÄN</t>
        </is>
      </c>
      <c r="G176" t="inlineStr">
        <is>
          <t>ALVESTA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44528-2025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45916</v>
      </c>
      <c r="E177" s="1" t="n">
        <v>46300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46300</v>
      </c>
      <c r="F178" t="inlineStr">
        <is>
          <t>KRONOBERGS LÄN</t>
        </is>
      </c>
      <c r="G178" t="inlineStr">
        <is>
          <t>ALVESTA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25220-2025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45798</v>
      </c>
      <c r="E179" s="1" t="n">
        <v>46300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6489-2022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44601</v>
      </c>
      <c r="E180" s="1" t="n">
        <v>46300</v>
      </c>
      <c r="F180" t="inlineStr">
        <is>
          <t>KRONOBERGS LÄN</t>
        </is>
      </c>
      <c r="G180" t="inlineStr">
        <is>
          <t>ALVESTA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46300</v>
      </c>
      <c r="F181" t="inlineStr">
        <is>
          <t>KRONOBERGS LÄN</t>
        </is>
      </c>
      <c r="G181" t="inlineStr">
        <is>
          <t>ALVESTA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46300</v>
      </c>
      <c r="F182" t="inlineStr">
        <is>
          <t>KRONOBERGS LÄN</t>
        </is>
      </c>
      <c r="G182" t="inlineStr">
        <is>
          <t>ALVESTA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46300</v>
      </c>
      <c r="F183" t="inlineStr">
        <is>
          <t>KRONOBERGS LÄN</t>
        </is>
      </c>
      <c r="G183" t="inlineStr">
        <is>
          <t>ALVESTA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46300</v>
      </c>
      <c r="F184" t="inlineStr">
        <is>
          <t>KRONOBERGS LÄN</t>
        </is>
      </c>
      <c r="G184" t="inlineStr">
        <is>
          <t>ALVESTA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46300</v>
      </c>
      <c r="F185" t="inlineStr">
        <is>
          <t>KRONOBERGS LÄN</t>
        </is>
      </c>
      <c r="G185" t="inlineStr">
        <is>
          <t>ALVESTA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44957</v>
      </c>
      <c r="E186" s="1" t="n">
        <v>46300</v>
      </c>
      <c r="F186" t="inlineStr">
        <is>
          <t>KRONOBERGS LÄN</t>
        </is>
      </c>
      <c r="G186" t="inlineStr">
        <is>
          <t>ALVESTA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46300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44490</v>
      </c>
      <c r="E188" s="1" t="n">
        <v>46300</v>
      </c>
      <c r="F188" t="inlineStr">
        <is>
          <t>KRONOBERGS LÄN</t>
        </is>
      </c>
      <c r="G188" t="inlineStr">
        <is>
          <t>ALVESTA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46300</v>
      </c>
      <c r="F189" t="inlineStr">
        <is>
          <t>KRONOBERGS LÄN</t>
        </is>
      </c>
      <c r="G189" t="inlineStr">
        <is>
          <t>ALVESTA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46300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46300</v>
      </c>
      <c r="F191" t="inlineStr">
        <is>
          <t>KRONOBERGS LÄN</t>
        </is>
      </c>
      <c r="G191" t="inlineStr">
        <is>
          <t>ALVESTA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46300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46300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45860</v>
      </c>
      <c r="E194" s="1" t="n">
        <v>46300</v>
      </c>
      <c r="F194" t="inlineStr">
        <is>
          <t>KRONOBERGS LÄN</t>
        </is>
      </c>
      <c r="G194" t="inlineStr">
        <is>
          <t>ALVESTA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46300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45040</v>
      </c>
      <c r="E196" s="1" t="n">
        <v>46300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46300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46300</v>
      </c>
      <c r="F198" t="inlineStr">
        <is>
          <t>KRONOBERGS LÄN</t>
        </is>
      </c>
      <c r="G198" t="inlineStr">
        <is>
          <t>ALVESTA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46300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46300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46300</v>
      </c>
      <c r="F201" t="inlineStr">
        <is>
          <t>KRONOBERGS LÄN</t>
        </is>
      </c>
      <c r="G201" t="inlineStr">
        <is>
          <t>ALVESTA</t>
        </is>
      </c>
      <c r="H201" t="inlineStr">
        <is>
          <t>Kommuner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46300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46300</v>
      </c>
      <c r="F203" t="inlineStr">
        <is>
          <t>KRONOBERGS LÄN</t>
        </is>
      </c>
      <c r="G203" t="inlineStr">
        <is>
          <t>ALVESTA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46300</v>
      </c>
      <c r="F204" t="inlineStr">
        <is>
          <t>KRONOBERGS LÄN</t>
        </is>
      </c>
      <c r="G204" t="inlineStr">
        <is>
          <t>ALVESTA</t>
        </is>
      </c>
      <c r="I204" t="n">
        <v>9.6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46063</v>
      </c>
      <c r="E205" s="1" t="n">
        <v>46300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46300</v>
      </c>
      <c r="F206" t="inlineStr">
        <is>
          <t>KRONOBERGS LÄN</t>
        </is>
      </c>
      <c r="G206" t="inlineStr">
        <is>
          <t>ALVESTA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46300</v>
      </c>
      <c r="F207" t="inlineStr">
        <is>
          <t>KRONOBERGS LÄN</t>
        </is>
      </c>
      <c r="G207" t="inlineStr">
        <is>
          <t>ALVESTA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46064</v>
      </c>
      <c r="E208" s="1" t="n">
        <v>46300</v>
      </c>
      <c r="F208" t="inlineStr">
        <is>
          <t>KRONOBERGS LÄN</t>
        </is>
      </c>
      <c r="G208" t="inlineStr">
        <is>
          <t>ALVESTA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46300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57118-2023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45245</v>
      </c>
      <c r="E210" s="1" t="n">
        <v>46300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46300</v>
      </c>
      <c r="F211" t="inlineStr">
        <is>
          <t>KRONOBERGS LÄN</t>
        </is>
      </c>
      <c r="G211" t="inlineStr">
        <is>
          <t>ALVESTA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46300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46300</v>
      </c>
      <c r="F213" t="inlineStr">
        <is>
          <t>KRONOBERGS LÄN</t>
        </is>
      </c>
      <c r="G213" t="inlineStr">
        <is>
          <t>ALVESTA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46300</v>
      </c>
      <c r="F214" t="inlineStr">
        <is>
          <t>KRONOBERGS LÄN</t>
        </is>
      </c>
      <c r="G214" t="inlineStr">
        <is>
          <t>ALVESTA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46300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46300</v>
      </c>
      <c r="F216" t="inlineStr">
        <is>
          <t>KRONOBERGS LÄN</t>
        </is>
      </c>
      <c r="G216" t="inlineStr">
        <is>
          <t>ALVESTA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46300</v>
      </c>
      <c r="F217" t="inlineStr">
        <is>
          <t>KRONOBERGS LÄN</t>
        </is>
      </c>
      <c r="G217" t="inlineStr">
        <is>
          <t>ALVESTA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45338</v>
      </c>
      <c r="E218" s="1" t="n">
        <v>46300</v>
      </c>
      <c r="F218" t="inlineStr">
        <is>
          <t>KRONOBERGS LÄN</t>
        </is>
      </c>
      <c r="G218" t="inlineStr">
        <is>
          <t>ALVESTA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45345</v>
      </c>
      <c r="E219" s="1" t="n">
        <v>46300</v>
      </c>
      <c r="F219" t="inlineStr">
        <is>
          <t>KRONOBERGS LÄN</t>
        </is>
      </c>
      <c r="G219" t="inlineStr">
        <is>
          <t>ALVESTA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46300</v>
      </c>
      <c r="F220" t="inlineStr">
        <is>
          <t>KRONOBERGS LÄN</t>
        </is>
      </c>
      <c r="G220" t="inlineStr">
        <is>
          <t>ALVESTA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25261-2024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45462</v>
      </c>
      <c r="E221" s="1" t="n">
        <v>46300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46300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46300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46300</v>
      </c>
      <c r="F224" t="inlineStr">
        <is>
          <t>KRONOBERGS LÄN</t>
        </is>
      </c>
      <c r="G224" t="inlineStr">
        <is>
          <t>ALVESTA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46300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44948</v>
      </c>
      <c r="E226" s="1" t="n">
        <v>46300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46300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45015</v>
      </c>
      <c r="E228" s="1" t="n">
        <v>46300</v>
      </c>
      <c r="F228" t="inlineStr">
        <is>
          <t>KRONOBERGS LÄN</t>
        </is>
      </c>
      <c r="G228" t="inlineStr">
        <is>
          <t>ALVESTA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46300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46300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46300</v>
      </c>
      <c r="F231" t="inlineStr">
        <is>
          <t>KRONOBERGS LÄN</t>
        </is>
      </c>
      <c r="G231" t="inlineStr">
        <is>
          <t>ALVESTA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11331-2026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46081</v>
      </c>
      <c r="E232" s="1" t="n">
        <v>46300</v>
      </c>
      <c r="F232" t="inlineStr">
        <is>
          <t>KRONOBERGS LÄN</t>
        </is>
      </c>
      <c r="G232" t="inlineStr">
        <is>
          <t>ALVESTA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45000</v>
      </c>
      <c r="E233" s="1" t="n">
        <v>46300</v>
      </c>
      <c r="F233" t="inlineStr">
        <is>
          <t>KRONOBERGS LÄN</t>
        </is>
      </c>
      <c r="G233" t="inlineStr">
        <is>
          <t>ALVESTA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46300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46300</v>
      </c>
      <c r="F235" t="inlineStr">
        <is>
          <t>KRONOBERGS LÄN</t>
        </is>
      </c>
      <c r="G235" t="inlineStr">
        <is>
          <t>ALVESTA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46300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46300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12258-2026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46087</v>
      </c>
      <c r="E238" s="1" t="n">
        <v>46300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46300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46300</v>
      </c>
      <c r="F240" t="inlineStr">
        <is>
          <t>KRONOBERGS LÄN</t>
        </is>
      </c>
      <c r="G240" t="inlineStr">
        <is>
          <t>ALVESTA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46300</v>
      </c>
      <c r="F241" t="inlineStr">
        <is>
          <t>KRONOBERGS LÄN</t>
        </is>
      </c>
      <c r="G241" t="inlineStr">
        <is>
          <t>ALVESTA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46300</v>
      </c>
      <c r="F242" t="inlineStr">
        <is>
          <t>KRONOBERGS LÄN</t>
        </is>
      </c>
      <c r="G242" t="inlineStr">
        <is>
          <t>ALVESTA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46300</v>
      </c>
      <c r="F243" t="inlineStr">
        <is>
          <t>KRONOBERGS LÄN</t>
        </is>
      </c>
      <c r="G243" t="inlineStr">
        <is>
          <t>ALVESTA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46300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46300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46300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46300</v>
      </c>
      <c r="F247" t="inlineStr">
        <is>
          <t>KRONOBERGS LÄN</t>
        </is>
      </c>
      <c r="G247" t="inlineStr">
        <is>
          <t>ALVESTA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46300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46300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46300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46300</v>
      </c>
      <c r="F251" t="inlineStr">
        <is>
          <t>KRONOBERGS LÄN</t>
        </is>
      </c>
      <c r="G251" t="inlineStr">
        <is>
          <t>ALVESTA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46300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46300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46300</v>
      </c>
      <c r="F254" t="inlineStr">
        <is>
          <t>KRONOBERGS LÄN</t>
        </is>
      </c>
      <c r="G254" t="inlineStr">
        <is>
          <t>ALVESTA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46300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46300</v>
      </c>
      <c r="F256" t="inlineStr">
        <is>
          <t>KRONOBERGS LÄN</t>
        </is>
      </c>
      <c r="G256" t="inlineStr">
        <is>
          <t>ALVESTA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46300</v>
      </c>
      <c r="F257" t="inlineStr">
        <is>
          <t>KRONOBERGS LÄN</t>
        </is>
      </c>
      <c r="G257" t="inlineStr">
        <is>
          <t>ALVESTA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45055</v>
      </c>
      <c r="E258" s="1" t="n">
        <v>46300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45128</v>
      </c>
      <c r="E259" s="1" t="n">
        <v>46300</v>
      </c>
      <c r="F259" t="inlineStr">
        <is>
          <t>KRONOBERGS LÄN</t>
        </is>
      </c>
      <c r="G259" t="inlineStr">
        <is>
          <t>ALVESTA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46300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46300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46300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46300</v>
      </c>
      <c r="F263" t="inlineStr">
        <is>
          <t>KRONOBERGS LÄN</t>
        </is>
      </c>
      <c r="G263" t="inlineStr">
        <is>
          <t>ALVESTA</t>
        </is>
      </c>
      <c r="H263" t="inlineStr">
        <is>
          <t>Övriga Aktiebolag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46300</v>
      </c>
      <c r="F264" t="inlineStr">
        <is>
          <t>KRONOBERGS LÄN</t>
        </is>
      </c>
      <c r="G264" t="inlineStr">
        <is>
          <t>ALVESTA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46300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46300</v>
      </c>
      <c r="F266" t="inlineStr">
        <is>
          <t>KRONOBERGS LÄN</t>
        </is>
      </c>
      <c r="G266" t="inlineStr">
        <is>
          <t>ALVESTA</t>
        </is>
      </c>
      <c r="H266" t="inlineStr">
        <is>
          <t>Övriga Aktiebolag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46300</v>
      </c>
      <c r="F267" t="inlineStr">
        <is>
          <t>KRONOBERGS LÄN</t>
        </is>
      </c>
      <c r="G267" t="inlineStr">
        <is>
          <t>ALVESTA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46300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46300</v>
      </c>
      <c r="F269" t="inlineStr">
        <is>
          <t>KRONOBERGS LÄN</t>
        </is>
      </c>
      <c r="G269" t="inlineStr">
        <is>
          <t>ALVESTA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46300</v>
      </c>
      <c r="F270" t="inlineStr">
        <is>
          <t>KRONOBERGS LÄN</t>
        </is>
      </c>
      <c r="G270" t="inlineStr">
        <is>
          <t>ALVESTA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45678</v>
      </c>
      <c r="E271" s="1" t="n">
        <v>46300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45384</v>
      </c>
      <c r="E272" s="1" t="n">
        <v>46300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46300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46300</v>
      </c>
      <c r="F274" t="inlineStr">
        <is>
          <t>KRONOBERGS LÄN</t>
        </is>
      </c>
      <c r="G274" t="inlineStr">
        <is>
          <t>ALVESTA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46300</v>
      </c>
      <c r="F275" t="inlineStr">
        <is>
          <t>KRONOBERGS LÄN</t>
        </is>
      </c>
      <c r="G275" t="inlineStr">
        <is>
          <t>ALVESTA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46300</v>
      </c>
      <c r="F276" t="inlineStr">
        <is>
          <t>KRONOBERGS LÄN</t>
        </is>
      </c>
      <c r="G276" t="inlineStr">
        <is>
          <t>ALVESTA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45517</v>
      </c>
      <c r="E277" s="1" t="n">
        <v>46300</v>
      </c>
      <c r="F277" t="inlineStr">
        <is>
          <t>KRONOBERGS LÄN</t>
        </is>
      </c>
      <c r="G277" t="inlineStr">
        <is>
          <t>ALVESTA</t>
        </is>
      </c>
      <c r="H277" t="inlineStr">
        <is>
          <t>Kyrkan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46300</v>
      </c>
      <c r="F278" t="inlineStr">
        <is>
          <t>KRONOBERGS LÄN</t>
        </is>
      </c>
      <c r="G278" t="inlineStr">
        <is>
          <t>ALVESTA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60478-2023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45259</v>
      </c>
      <c r="E279" s="1" t="n">
        <v>46300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44838</v>
      </c>
      <c r="E280" s="1" t="n">
        <v>46300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46300</v>
      </c>
      <c r="F281" t="inlineStr">
        <is>
          <t>KRONOBERGS LÄN</t>
        </is>
      </c>
      <c r="G281" t="inlineStr">
        <is>
          <t>ALVESTA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46300</v>
      </c>
      <c r="F282" t="inlineStr">
        <is>
          <t>KRONOBERGS LÄN</t>
        </is>
      </c>
      <c r="G282" t="inlineStr">
        <is>
          <t>ALVESTA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46300</v>
      </c>
      <c r="F283" t="inlineStr">
        <is>
          <t>KRONOBERGS LÄN</t>
        </is>
      </c>
      <c r="G283" t="inlineStr">
        <is>
          <t>ALVESTA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46300</v>
      </c>
      <c r="F284" t="inlineStr">
        <is>
          <t>KRONOBERGS LÄN</t>
        </is>
      </c>
      <c r="G284" t="inlineStr">
        <is>
          <t>ALVESTA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46300</v>
      </c>
      <c r="F285" t="inlineStr">
        <is>
          <t>KRONOBERGS LÄN</t>
        </is>
      </c>
      <c r="G285" t="inlineStr">
        <is>
          <t>ALVESTA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45673</v>
      </c>
      <c r="E286" s="1" t="n">
        <v>46300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46300</v>
      </c>
      <c r="F287" t="inlineStr">
        <is>
          <t>KRONOBERGS LÄN</t>
        </is>
      </c>
      <c r="G287" t="inlineStr">
        <is>
          <t>ALVESTA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46300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46300</v>
      </c>
      <c r="F289" t="inlineStr">
        <is>
          <t>KRONOBERGS LÄN</t>
        </is>
      </c>
      <c r="G289" t="inlineStr">
        <is>
          <t>ALVESTA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46300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46300</v>
      </c>
      <c r="F291" t="inlineStr">
        <is>
          <t>KRONOBERGS LÄN</t>
        </is>
      </c>
      <c r="G291" t="inlineStr">
        <is>
          <t>ALVESTA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46300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46122</v>
      </c>
      <c r="E293" s="1" t="n">
        <v>46300</v>
      </c>
      <c r="F293" t="inlineStr">
        <is>
          <t>KRONOBERGS LÄN</t>
        </is>
      </c>
      <c r="G293" t="inlineStr">
        <is>
          <t>ALVESTA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46300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17801-2026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46122</v>
      </c>
      <c r="E295" s="1" t="n">
        <v>46300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46300</v>
      </c>
      <c r="F296" t="inlineStr">
        <is>
          <t>KRONOBERGS LÄN</t>
        </is>
      </c>
      <c r="G296" t="inlineStr">
        <is>
          <t>ALVESTA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46300</v>
      </c>
      <c r="F297" t="inlineStr">
        <is>
          <t>KRONOBERGS LÄN</t>
        </is>
      </c>
      <c r="G297" t="inlineStr">
        <is>
          <t>ALVESTA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46300</v>
      </c>
      <c r="F298" t="inlineStr">
        <is>
          <t>KRONOBERGS LÄN</t>
        </is>
      </c>
      <c r="G298" t="inlineStr">
        <is>
          <t>ALVESTA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46300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46300</v>
      </c>
      <c r="F300" t="inlineStr">
        <is>
          <t>KRONOBERGS LÄN</t>
        </is>
      </c>
      <c r="G300" t="inlineStr">
        <is>
          <t>ALVESTA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46300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46300</v>
      </c>
      <c r="F302" t="inlineStr">
        <is>
          <t>KRONOBERGS LÄN</t>
        </is>
      </c>
      <c r="G302" t="inlineStr">
        <is>
          <t>ALVESTA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45563</v>
      </c>
      <c r="E303" s="1" t="n">
        <v>46300</v>
      </c>
      <c r="F303" t="inlineStr">
        <is>
          <t>KRONOBERGS LÄN</t>
        </is>
      </c>
      <c r="G303" t="inlineStr">
        <is>
          <t>ALVESTA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46129</v>
      </c>
      <c r="E304" s="1" t="n">
        <v>46300</v>
      </c>
      <c r="F304" t="inlineStr">
        <is>
          <t>KRONOBERGS LÄN</t>
        </is>
      </c>
      <c r="G304" t="inlineStr">
        <is>
          <t>ALVESTA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18858-2026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46129</v>
      </c>
      <c r="E305" s="1" t="n">
        <v>46300</v>
      </c>
      <c r="F305" t="inlineStr">
        <is>
          <t>KRONOBERGS LÄN</t>
        </is>
      </c>
      <c r="G305" t="inlineStr">
        <is>
          <t>ALVESTA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60700-2025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45996</v>
      </c>
      <c r="E306" s="1" t="n">
        <v>46300</v>
      </c>
      <c r="F306" t="inlineStr">
        <is>
          <t>KRONOBERGS LÄN</t>
        </is>
      </c>
      <c r="G306" t="inlineStr">
        <is>
          <t>ALVESTA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46300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45827</v>
      </c>
      <c r="E308" s="1" t="n">
        <v>46300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46300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45436</v>
      </c>
      <c r="E310" s="1" t="n">
        <v>46300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46300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46300</v>
      </c>
      <c r="F312" t="inlineStr">
        <is>
          <t>KRONOBERGS LÄN</t>
        </is>
      </c>
      <c r="G312" t="inlineStr">
        <is>
          <t>ALVESTA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46300</v>
      </c>
      <c r="F313" t="inlineStr">
        <is>
          <t>KRONOBERGS LÄN</t>
        </is>
      </c>
      <c r="G313" t="inlineStr">
        <is>
          <t>ALVESTA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46300</v>
      </c>
      <c r="F314" t="inlineStr">
        <is>
          <t>KRONOBERGS LÄN</t>
        </is>
      </c>
      <c r="G314" t="inlineStr">
        <is>
          <t>ALVESTA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46300</v>
      </c>
      <c r="F315" t="inlineStr">
        <is>
          <t>KRONOBERGS LÄN</t>
        </is>
      </c>
      <c r="G315" t="inlineStr">
        <is>
          <t>ALVESTA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45390</v>
      </c>
      <c r="E316" s="1" t="n">
        <v>46300</v>
      </c>
      <c r="F316" t="inlineStr">
        <is>
          <t>KRONOBERGS LÄN</t>
        </is>
      </c>
      <c r="G316" t="inlineStr">
        <is>
          <t>ALVESTA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56552-2021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44480</v>
      </c>
      <c r="E317" s="1" t="n">
        <v>46300</v>
      </c>
      <c r="F317" t="inlineStr">
        <is>
          <t>KRONOBERGS LÄN</t>
        </is>
      </c>
      <c r="G317" t="inlineStr">
        <is>
          <t>ALVESTA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45300</v>
      </c>
      <c r="E318" s="1" t="n">
        <v>46300</v>
      </c>
      <c r="F318" t="inlineStr">
        <is>
          <t>KRONOBERGS LÄN</t>
        </is>
      </c>
      <c r="G318" t="inlineStr">
        <is>
          <t>ALVESTA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46300</v>
      </c>
      <c r="F319" t="inlineStr">
        <is>
          <t>KRONOBERGS LÄN</t>
        </is>
      </c>
      <c r="G319" t="inlineStr">
        <is>
          <t>ALVESTA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46300</v>
      </c>
      <c r="F320" t="inlineStr">
        <is>
          <t>KRONOBERGS LÄN</t>
        </is>
      </c>
      <c r="G320" t="inlineStr">
        <is>
          <t>ALVESTA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45086</v>
      </c>
      <c r="E321" s="1" t="n">
        <v>46300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46300</v>
      </c>
      <c r="F322" t="inlineStr">
        <is>
          <t>KRONOBERGS LÄN</t>
        </is>
      </c>
      <c r="G322" t="inlineStr">
        <is>
          <t>ALVESTA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46300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44670</v>
      </c>
      <c r="E324" s="1" t="n">
        <v>46300</v>
      </c>
      <c r="F324" t="inlineStr">
        <is>
          <t>KRONOBERGS LÄN</t>
        </is>
      </c>
      <c r="G324" t="inlineStr">
        <is>
          <t>ALVESTA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46300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46300</v>
      </c>
      <c r="F326" t="inlineStr">
        <is>
          <t>KRONOBERGS LÄN</t>
        </is>
      </c>
      <c r="G326" t="inlineStr">
        <is>
          <t>ALVESTA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46300</v>
      </c>
      <c r="F327" t="inlineStr">
        <is>
          <t>KRONOBERGS LÄN</t>
        </is>
      </c>
      <c r="G327" t="inlineStr">
        <is>
          <t>ALVESTA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46300</v>
      </c>
      <c r="F328" t="inlineStr">
        <is>
          <t>KRONOBERGS LÄN</t>
        </is>
      </c>
      <c r="G328" t="inlineStr">
        <is>
          <t>ALVESTA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46300</v>
      </c>
      <c r="F329" t="inlineStr">
        <is>
          <t>KRONOBERGS LÄN</t>
        </is>
      </c>
      <c r="G329" t="inlineStr">
        <is>
          <t>ALVESTA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46300</v>
      </c>
      <c r="F330" t="inlineStr">
        <is>
          <t>KRONOBERGS LÄN</t>
        </is>
      </c>
      <c r="G330" t="inlineStr">
        <is>
          <t>ALVESTA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45635</v>
      </c>
      <c r="E331" s="1" t="n">
        <v>46300</v>
      </c>
      <c r="F331" t="inlineStr">
        <is>
          <t>KRONOBERGS LÄN</t>
        </is>
      </c>
      <c r="G331" t="inlineStr">
        <is>
          <t>ALVESTA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46300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9822-2022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44620</v>
      </c>
      <c r="E333" s="1" t="n">
        <v>46300</v>
      </c>
      <c r="F333" t="inlineStr">
        <is>
          <t>KRONOBERGS LÄN</t>
        </is>
      </c>
      <c r="G333" t="inlineStr">
        <is>
          <t>ALVESTA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45471</v>
      </c>
      <c r="E334" s="1" t="n">
        <v>46300</v>
      </c>
      <c r="F334" t="inlineStr">
        <is>
          <t>KRONOBERGS LÄN</t>
        </is>
      </c>
      <c r="G334" t="inlineStr">
        <is>
          <t>ALVESTA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46300</v>
      </c>
      <c r="F335" t="inlineStr">
        <is>
          <t>KRONOBERGS LÄN</t>
        </is>
      </c>
      <c r="G335" t="inlineStr">
        <is>
          <t>ALVESTA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46300</v>
      </c>
      <c r="F336" t="inlineStr">
        <is>
          <t>KRONOBERGS LÄN</t>
        </is>
      </c>
      <c r="G336" t="inlineStr">
        <is>
          <t>ALVESTA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45385</v>
      </c>
      <c r="E337" s="1" t="n">
        <v>46300</v>
      </c>
      <c r="F337" t="inlineStr">
        <is>
          <t>KRONOBERGS LÄN</t>
        </is>
      </c>
      <c r="G337" t="inlineStr">
        <is>
          <t>ALVESTA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45847</v>
      </c>
      <c r="E338" s="1" t="n">
        <v>46300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45538</v>
      </c>
      <c r="E339" s="1" t="n">
        <v>46300</v>
      </c>
      <c r="F339" t="inlineStr">
        <is>
          <t>KRONOBERGS LÄN</t>
        </is>
      </c>
      <c r="G339" t="inlineStr">
        <is>
          <t>ALVESTA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45342</v>
      </c>
      <c r="E340" s="1" t="n">
        <v>46300</v>
      </c>
      <c r="F340" t="inlineStr">
        <is>
          <t>KRONOBERGS LÄN</t>
        </is>
      </c>
      <c r="G340" t="inlineStr">
        <is>
          <t>ALVESTA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46300</v>
      </c>
      <c r="F341" t="inlineStr">
        <is>
          <t>KRONOBERGS LÄN</t>
        </is>
      </c>
      <c r="G341" t="inlineStr">
        <is>
          <t>ALVESTA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45548</v>
      </c>
      <c r="E342" s="1" t="n">
        <v>46300</v>
      </c>
      <c r="F342" t="inlineStr">
        <is>
          <t>KRONOBERGS LÄN</t>
        </is>
      </c>
      <c r="G342" t="inlineStr">
        <is>
          <t>ALVESTA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46300</v>
      </c>
      <c r="F343" t="inlineStr">
        <is>
          <t>KRONOBERGS LÄN</t>
        </is>
      </c>
      <c r="G343" t="inlineStr">
        <is>
          <t>ALVESTA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46300</v>
      </c>
      <c r="F344" t="inlineStr">
        <is>
          <t>KRONOBERGS LÄN</t>
        </is>
      </c>
      <c r="G344" t="inlineStr">
        <is>
          <t>ALVESTA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45852</v>
      </c>
      <c r="E345" s="1" t="n">
        <v>46300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46300</v>
      </c>
      <c r="F346" t="inlineStr">
        <is>
          <t>KRONOBERGS LÄN</t>
        </is>
      </c>
      <c r="G346" t="inlineStr">
        <is>
          <t>ALVESTA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45827</v>
      </c>
      <c r="E347" s="1" t="n">
        <v>46300</v>
      </c>
      <c r="F347" t="inlineStr">
        <is>
          <t>KRONOBERGS LÄN</t>
        </is>
      </c>
      <c r="G347" t="inlineStr">
        <is>
          <t>ALVESTA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46300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46300</v>
      </c>
      <c r="F349" t="inlineStr">
        <is>
          <t>KRONOBERGS LÄN</t>
        </is>
      </c>
      <c r="G349" t="inlineStr">
        <is>
          <t>ALVESTA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45105</v>
      </c>
      <c r="E350" s="1" t="n">
        <v>46300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46300</v>
      </c>
      <c r="F351" t="inlineStr">
        <is>
          <t>KRONOBERGS LÄN</t>
        </is>
      </c>
      <c r="G351" t="inlineStr">
        <is>
          <t>ALVESTA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46300</v>
      </c>
      <c r="F352" t="inlineStr">
        <is>
          <t>KRONOBERGS LÄN</t>
        </is>
      </c>
      <c r="G352" t="inlineStr">
        <is>
          <t>ALVESTA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46300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46300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45159</v>
      </c>
      <c r="E355" s="1" t="n">
        <v>46300</v>
      </c>
      <c r="F355" t="inlineStr">
        <is>
          <t>KRONOBERGS LÄN</t>
        </is>
      </c>
      <c r="G355" t="inlineStr">
        <is>
          <t>ALVESTA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46300</v>
      </c>
      <c r="F356" t="inlineStr">
        <is>
          <t>KRONOBERGS LÄN</t>
        </is>
      </c>
      <c r="G356" t="inlineStr">
        <is>
          <t>ALVESTA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46300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45858</v>
      </c>
      <c r="E358" s="1" t="n">
        <v>46300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46300</v>
      </c>
      <c r="F359" t="inlineStr">
        <is>
          <t>KRONOBERGS LÄN</t>
        </is>
      </c>
      <c r="G359" t="inlineStr">
        <is>
          <t>ALVESTA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38875-2022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44816</v>
      </c>
      <c r="E360" s="1" t="n">
        <v>46300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46300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45532</v>
      </c>
      <c r="E362" s="1" t="n">
        <v>46300</v>
      </c>
      <c r="F362" t="inlineStr">
        <is>
          <t>KRONOBERGS LÄN</t>
        </is>
      </c>
      <c r="G362" t="inlineStr">
        <is>
          <t>ALVESTA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46300</v>
      </c>
      <c r="F363" t="inlineStr">
        <is>
          <t>KRONOBERGS LÄN</t>
        </is>
      </c>
      <c r="G363" t="inlineStr">
        <is>
          <t>ALVESTA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45593</v>
      </c>
      <c r="E364" s="1" t="n">
        <v>46300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46300</v>
      </c>
      <c r="F365" t="inlineStr">
        <is>
          <t>KRONOBERGS LÄN</t>
        </is>
      </c>
      <c r="G365" t="inlineStr">
        <is>
          <t>ALVESTA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60202-2021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44495</v>
      </c>
      <c r="E366" s="1" t="n">
        <v>46300</v>
      </c>
      <c r="F366" t="inlineStr">
        <is>
          <t>KRONOBERGS LÄN</t>
        </is>
      </c>
      <c r="G366" t="inlineStr">
        <is>
          <t>ALVESTA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46300</v>
      </c>
      <c r="F367" t="inlineStr">
        <is>
          <t>KRONOBERGS LÄN</t>
        </is>
      </c>
      <c r="G367" t="inlineStr">
        <is>
          <t>ALVESTA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45336</v>
      </c>
      <c r="E368" s="1" t="n">
        <v>46300</v>
      </c>
      <c r="F368" t="inlineStr">
        <is>
          <t>KRONOBERGS LÄN</t>
        </is>
      </c>
      <c r="G368" t="inlineStr">
        <is>
          <t>ALVESTA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36862-2022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46300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45482</v>
      </c>
      <c r="E370" s="1" t="n">
        <v>46300</v>
      </c>
      <c r="F370" t="inlineStr">
        <is>
          <t>KRONOBERGS LÄN</t>
        </is>
      </c>
      <c r="G370" t="inlineStr">
        <is>
          <t>ALVESTA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45349</v>
      </c>
      <c r="E371" s="1" t="n">
        <v>46300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46300</v>
      </c>
      <c r="F372" t="inlineStr">
        <is>
          <t>KRONOBERGS LÄN</t>
        </is>
      </c>
      <c r="G372" t="inlineStr">
        <is>
          <t>ALVESTA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46300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46300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45512</v>
      </c>
      <c r="E375" s="1" t="n">
        <v>46300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45868</v>
      </c>
      <c r="E376" s="1" t="n">
        <v>46300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45467</v>
      </c>
      <c r="E377" s="1" t="n">
        <v>46300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46300</v>
      </c>
      <c r="F378" t="inlineStr">
        <is>
          <t>KRONOBERGS LÄN</t>
        </is>
      </c>
      <c r="G378" t="inlineStr">
        <is>
          <t>ALVESTA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46300</v>
      </c>
      <c r="F379" t="inlineStr">
        <is>
          <t>KRONOBERGS LÄN</t>
        </is>
      </c>
      <c r="G379" t="inlineStr">
        <is>
          <t>ALVESTA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44881</v>
      </c>
      <c r="E380" s="1" t="n">
        <v>46300</v>
      </c>
      <c r="F380" t="inlineStr">
        <is>
          <t>KRONOBERGS LÄN</t>
        </is>
      </c>
      <c r="G380" t="inlineStr">
        <is>
          <t>ALVESTA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45359</v>
      </c>
      <c r="E381" s="1" t="n">
        <v>46300</v>
      </c>
      <c r="F381" t="inlineStr">
        <is>
          <t>KRONOBERGS LÄN</t>
        </is>
      </c>
      <c r="G381" t="inlineStr">
        <is>
          <t>ALVESTA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46300</v>
      </c>
      <c r="F382" t="inlineStr">
        <is>
          <t>KRONOBERGS LÄN</t>
        </is>
      </c>
      <c r="G382" t="inlineStr">
        <is>
          <t>ALVESTA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46142</v>
      </c>
      <c r="E383" s="1" t="n">
        <v>46300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44973</v>
      </c>
      <c r="E384" s="1" t="n">
        <v>46300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45075</v>
      </c>
      <c r="E385" s="1" t="n">
        <v>46300</v>
      </c>
      <c r="F385" t="inlineStr">
        <is>
          <t>KRONOBERGS LÄN</t>
        </is>
      </c>
      <c r="G385" t="inlineStr">
        <is>
          <t>ALVESTA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46300</v>
      </c>
      <c r="F386" t="inlineStr">
        <is>
          <t>KRONOBERGS LÄN</t>
        </is>
      </c>
      <c r="G386" t="inlineStr">
        <is>
          <t>ALVESTA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44978</v>
      </c>
      <c r="E387" s="1" t="n">
        <v>46300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46300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46300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45296</v>
      </c>
      <c r="E390" s="1" t="n">
        <v>46300</v>
      </c>
      <c r="F390" t="inlineStr">
        <is>
          <t>KRONOBERGS LÄN</t>
        </is>
      </c>
      <c r="G390" t="inlineStr">
        <is>
          <t>ALVESTA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46300</v>
      </c>
      <c r="F391" t="inlineStr">
        <is>
          <t>KRONOBERGS LÄN</t>
        </is>
      </c>
      <c r="G391" t="inlineStr">
        <is>
          <t>ALVESTA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46300</v>
      </c>
      <c r="F392" t="inlineStr">
        <is>
          <t>KRONOBERGS LÄN</t>
        </is>
      </c>
      <c r="G392" t="inlineStr">
        <is>
          <t>ALVESTA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46300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45418</v>
      </c>
      <c r="E394" s="1" t="n">
        <v>46300</v>
      </c>
      <c r="F394" t="inlineStr">
        <is>
          <t>KRONOBERGS LÄN</t>
        </is>
      </c>
      <c r="G394" t="inlineStr">
        <is>
          <t>ALVESTA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46300</v>
      </c>
      <c r="F395" t="inlineStr">
        <is>
          <t>KRONOBERGS LÄN</t>
        </is>
      </c>
      <c r="G395" t="inlineStr">
        <is>
          <t>ALVESTA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46300</v>
      </c>
      <c r="F396" t="inlineStr">
        <is>
          <t>KRONOBERGS LÄN</t>
        </is>
      </c>
      <c r="G396" t="inlineStr">
        <is>
          <t>ALVESTA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46300</v>
      </c>
      <c r="F397" t="inlineStr">
        <is>
          <t>KRONOBERGS LÄN</t>
        </is>
      </c>
      <c r="G397" t="inlineStr">
        <is>
          <t>ALVESTA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45436</v>
      </c>
      <c r="E398" s="1" t="n">
        <v>46300</v>
      </c>
      <c r="F398" t="inlineStr">
        <is>
          <t>KRONOBERGS LÄN</t>
        </is>
      </c>
      <c r="G398" t="inlineStr">
        <is>
          <t>ALVESTA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65092-2023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45288</v>
      </c>
      <c r="E399" s="1" t="n">
        <v>46300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46300</v>
      </c>
      <c r="F400" t="inlineStr">
        <is>
          <t>KRONOBERGS LÄN</t>
        </is>
      </c>
      <c r="G400" t="inlineStr">
        <is>
          <t>ALVESTA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45359</v>
      </c>
      <c r="E401" s="1" t="n">
        <v>46300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40612-2025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45896</v>
      </c>
      <c r="E402" s="1" t="n">
        <v>46300</v>
      </c>
      <c r="F402" t="inlineStr">
        <is>
          <t>KRONOBERGS LÄN</t>
        </is>
      </c>
      <c r="G402" t="inlineStr">
        <is>
          <t>ALVESTA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45854</v>
      </c>
      <c r="E403" s="1" t="n">
        <v>46300</v>
      </c>
      <c r="F403" t="inlineStr">
        <is>
          <t>KRONOBERGS LÄN</t>
        </is>
      </c>
      <c r="G403" t="inlineStr">
        <is>
          <t>ALVESTA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46300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46300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46300</v>
      </c>
      <c r="F406" t="inlineStr">
        <is>
          <t>KRONOBERGS LÄN</t>
        </is>
      </c>
      <c r="G406" t="inlineStr">
        <is>
          <t>ALVESTA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45959</v>
      </c>
      <c r="E407" s="1" t="n">
        <v>46300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46300</v>
      </c>
      <c r="F408" t="inlineStr">
        <is>
          <t>KRONOBERGS LÄN</t>
        </is>
      </c>
      <c r="G408" t="inlineStr">
        <is>
          <t>ALVESTA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46300</v>
      </c>
      <c r="F409" t="inlineStr">
        <is>
          <t>KRONOBERGS LÄN</t>
        </is>
      </c>
      <c r="G409" t="inlineStr">
        <is>
          <t>ALVESTA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45414</v>
      </c>
      <c r="E410" s="1" t="n">
        <v>46300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28529-2024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46300</v>
      </c>
      <c r="F411" t="inlineStr">
        <is>
          <t>KRONOBERGS LÄN</t>
        </is>
      </c>
      <c r="G411" t="inlineStr">
        <is>
          <t>ALVESTA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45362</v>
      </c>
      <c r="E412" s="1" t="n">
        <v>46300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46300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46300</v>
      </c>
      <c r="F414" t="inlineStr">
        <is>
          <t>KRONOBERGS LÄN</t>
        </is>
      </c>
      <c r="G414" t="inlineStr">
        <is>
          <t>ALVESTA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45436</v>
      </c>
      <c r="E415" s="1" t="n">
        <v>46300</v>
      </c>
      <c r="F415" t="inlineStr">
        <is>
          <t>KRONOBERGS LÄN</t>
        </is>
      </c>
      <c r="G415" t="inlineStr">
        <is>
          <t>ALVESTA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44635</v>
      </c>
      <c r="E416" s="1" t="n">
        <v>46300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46300</v>
      </c>
      <c r="F417" t="inlineStr">
        <is>
          <t>KRONOBERGS LÄN</t>
        </is>
      </c>
      <c r="G417" t="inlineStr">
        <is>
          <t>ALVESTA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45342</v>
      </c>
      <c r="E418" s="1" t="n">
        <v>46300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34148-2023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45136</v>
      </c>
      <c r="E419" s="1" t="n">
        <v>46300</v>
      </c>
      <c r="F419" t="inlineStr">
        <is>
          <t>KRONOBERGS LÄN</t>
        </is>
      </c>
      <c r="G419" t="inlineStr">
        <is>
          <t>ALVESTA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46300</v>
      </c>
      <c r="F420" t="inlineStr">
        <is>
          <t>KRONOBERGS LÄN</t>
        </is>
      </c>
      <c r="G420" t="inlineStr">
        <is>
          <t>ALVESTA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24419-2026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46169</v>
      </c>
      <c r="E421" s="1" t="n">
        <v>46300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24420-2026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46169</v>
      </c>
      <c r="E422" s="1" t="n">
        <v>46300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46300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46300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46300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45320</v>
      </c>
      <c r="E426" s="1" t="n">
        <v>46300</v>
      </c>
      <c r="F426" t="inlineStr">
        <is>
          <t>KRONOBERGS LÄN</t>
        </is>
      </c>
      <c r="G426" t="inlineStr">
        <is>
          <t>ALVESTA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44657</v>
      </c>
      <c r="E427" s="1" t="n">
        <v>46300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38899-2024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46300</v>
      </c>
      <c r="F428" t="inlineStr">
        <is>
          <t>KRONOBERGS LÄN</t>
        </is>
      </c>
      <c r="G428" t="inlineStr">
        <is>
          <t>ALVESTA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44914</v>
      </c>
      <c r="E429" s="1" t="n">
        <v>46300</v>
      </c>
      <c r="F429" t="inlineStr">
        <is>
          <t>KRONOBERGS LÄN</t>
        </is>
      </c>
      <c r="G429" t="inlineStr">
        <is>
          <t>ALVESTA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45128</v>
      </c>
      <c r="E430" s="1" t="n">
        <v>46300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46300</v>
      </c>
      <c r="F431" t="inlineStr">
        <is>
          <t>KRONOBERGS LÄN</t>
        </is>
      </c>
      <c r="G431" t="inlineStr">
        <is>
          <t>ALVESTA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46300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46300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24692-2026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46300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46300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46300</v>
      </c>
      <c r="F436" t="inlineStr">
        <is>
          <t>KRONOBERGS LÄN</t>
        </is>
      </c>
      <c r="G436" t="inlineStr">
        <is>
          <t>ALVESTA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45217</v>
      </c>
      <c r="E437" s="1" t="n">
        <v>46300</v>
      </c>
      <c r="F437" t="inlineStr">
        <is>
          <t>KRONOBERGS LÄN</t>
        </is>
      </c>
      <c r="G437" t="inlineStr">
        <is>
          <t>ALVESTA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46300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58648-2024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45635</v>
      </c>
      <c r="E439" s="1" t="n">
        <v>46300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46300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27077-2026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46186</v>
      </c>
      <c r="E441" s="1" t="n">
        <v>46300</v>
      </c>
      <c r="F441" t="inlineStr">
        <is>
          <t>KRONOBERGS LÄN</t>
        </is>
      </c>
      <c r="G441" t="inlineStr">
        <is>
          <t>ALVESTA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45338</v>
      </c>
      <c r="E442" s="1" t="n">
        <v>46300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46300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46300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46300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45366</v>
      </c>
      <c r="E446" s="1" t="n">
        <v>46300</v>
      </c>
      <c r="F446" t="inlineStr">
        <is>
          <t>KRONOBERGS LÄN</t>
        </is>
      </c>
      <c r="G446" t="inlineStr">
        <is>
          <t>ALVESTA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27032-2026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46185</v>
      </c>
      <c r="E447" s="1" t="n">
        <v>46300</v>
      </c>
      <c r="F447" t="inlineStr">
        <is>
          <t>KRONOBERGS LÄN</t>
        </is>
      </c>
      <c r="G447" t="inlineStr">
        <is>
          <t>ALVESTA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45324</v>
      </c>
      <c r="E448" s="1" t="n">
        <v>46300</v>
      </c>
      <c r="F448" t="inlineStr">
        <is>
          <t>KRONOBERGS LÄN</t>
        </is>
      </c>
      <c r="G448" t="inlineStr">
        <is>
          <t>ALVESTA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45771</v>
      </c>
      <c r="E449" s="1" t="n">
        <v>46300</v>
      </c>
      <c r="F449" t="inlineStr">
        <is>
          <t>KRONOBERGS LÄN</t>
        </is>
      </c>
      <c r="G449" t="inlineStr">
        <is>
          <t>ALVESTA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46300</v>
      </c>
      <c r="F450" t="inlineStr">
        <is>
          <t>KRONOBERGS LÄN</t>
        </is>
      </c>
      <c r="G450" t="inlineStr">
        <is>
          <t>ALVESTA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62230-2023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46300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46300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44873</v>
      </c>
      <c r="E453" s="1" t="n">
        <v>46300</v>
      </c>
      <c r="F453" t="inlineStr">
        <is>
          <t>KRONOBERGS LÄN</t>
        </is>
      </c>
      <c r="G453" t="inlineStr">
        <is>
          <t>ALVESTA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46300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46300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45135</v>
      </c>
      <c r="E456" s="1" t="n">
        <v>46300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45090</v>
      </c>
      <c r="E457" s="1" t="n">
        <v>46300</v>
      </c>
      <c r="F457" t="inlineStr">
        <is>
          <t>KRONOBERGS LÄN</t>
        </is>
      </c>
      <c r="G457" t="inlineStr">
        <is>
          <t>ALVESTA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46300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46300</v>
      </c>
      <c r="F459" t="inlineStr">
        <is>
          <t>KRONOBERGS LÄN</t>
        </is>
      </c>
      <c r="G459" t="inlineStr">
        <is>
          <t>ALVESTA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44805</v>
      </c>
      <c r="E460" s="1" t="n">
        <v>46300</v>
      </c>
      <c r="F460" t="inlineStr">
        <is>
          <t>KRONOBERGS LÄN</t>
        </is>
      </c>
      <c r="G460" t="inlineStr">
        <is>
          <t>ALVESTA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45608</v>
      </c>
      <c r="E461" s="1" t="n">
        <v>46300</v>
      </c>
      <c r="F461" t="inlineStr">
        <is>
          <t>KRONOBERGS LÄN</t>
        </is>
      </c>
      <c r="G461" t="inlineStr">
        <is>
          <t>ALVESTA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46300</v>
      </c>
      <c r="F462" t="inlineStr">
        <is>
          <t>KRONOBERGS LÄN</t>
        </is>
      </c>
      <c r="G462" t="inlineStr">
        <is>
          <t>ALVESTA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46300</v>
      </c>
      <c r="F463" t="inlineStr">
        <is>
          <t>KRONOBERGS LÄN</t>
        </is>
      </c>
      <c r="G463" t="inlineStr">
        <is>
          <t>ALVESTA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46300</v>
      </c>
      <c r="F464" t="inlineStr">
        <is>
          <t>KRONOBERGS LÄN</t>
        </is>
      </c>
      <c r="G464" t="inlineStr">
        <is>
          <t>ALVESTA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46300</v>
      </c>
      <c r="F465" t="inlineStr">
        <is>
          <t>KRONOBERGS LÄN</t>
        </is>
      </c>
      <c r="G465" t="inlineStr">
        <is>
          <t>ALVESTA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46300</v>
      </c>
      <c r="F466" t="inlineStr">
        <is>
          <t>KRONOBERGS LÄN</t>
        </is>
      </c>
      <c r="G466" t="inlineStr">
        <is>
          <t>ALVESTA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46300</v>
      </c>
      <c r="F467" t="inlineStr">
        <is>
          <t>KRONOBERGS LÄN</t>
        </is>
      </c>
      <c r="G467" t="inlineStr">
        <is>
          <t>ALVESTA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46300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45349</v>
      </c>
      <c r="E469" s="1" t="n">
        <v>46300</v>
      </c>
      <c r="F469" t="inlineStr">
        <is>
          <t>KRONOBERGS LÄN</t>
        </is>
      </c>
      <c r="G469" t="inlineStr">
        <is>
          <t>ALVESTA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44893</v>
      </c>
      <c r="E470" s="1" t="n">
        <v>46300</v>
      </c>
      <c r="F470" t="inlineStr">
        <is>
          <t>KRONOBERGS LÄN</t>
        </is>
      </c>
      <c r="G470" t="inlineStr">
        <is>
          <t>ALVESTA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46300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12818-2025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45733</v>
      </c>
      <c r="E472" s="1" t="n">
        <v>46300</v>
      </c>
      <c r="F472" t="inlineStr">
        <is>
          <t>KRONOBERGS LÄN</t>
        </is>
      </c>
      <c r="G472" t="inlineStr">
        <is>
          <t>ALVESTA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46300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46212</v>
      </c>
      <c r="E474" s="1" t="n">
        <v>46300</v>
      </c>
      <c r="F474" t="inlineStr">
        <is>
          <t>KRONOBERGS LÄN</t>
        </is>
      </c>
      <c r="G474" t="inlineStr">
        <is>
          <t>ALVESTA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46300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46300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46300</v>
      </c>
      <c r="F477" t="inlineStr">
        <is>
          <t>KRONOBERGS LÄN</t>
        </is>
      </c>
      <c r="G477" t="inlineStr">
        <is>
          <t>ALVESTA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46300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39263-2023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45166</v>
      </c>
      <c r="E479" s="1" t="n">
        <v>46300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45155</v>
      </c>
      <c r="E480" s="1" t="n">
        <v>46300</v>
      </c>
      <c r="F480" t="inlineStr">
        <is>
          <t>KRONOBERGS LÄN</t>
        </is>
      </c>
      <c r="G480" t="inlineStr">
        <is>
          <t>ALVESTA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44935</v>
      </c>
      <c r="E481" s="1" t="n">
        <v>46300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46300</v>
      </c>
      <c r="F482" t="inlineStr">
        <is>
          <t>KRONOBERGS LÄN</t>
        </is>
      </c>
      <c r="G482" t="inlineStr">
        <is>
          <t>ALVESTA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45155</v>
      </c>
      <c r="E483" s="1" t="n">
        <v>46300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46300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46300</v>
      </c>
      <c r="F485" t="inlineStr">
        <is>
          <t>KRONOBERGS LÄN</t>
        </is>
      </c>
      <c r="G485" t="inlineStr">
        <is>
          <t>ALVESTA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34220-2024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45524</v>
      </c>
      <c r="E486" s="1" t="n">
        <v>46300</v>
      </c>
      <c r="F486" t="inlineStr">
        <is>
          <t>KRONOBERGS LÄN</t>
        </is>
      </c>
      <c r="G486" t="inlineStr">
        <is>
          <t>ALVESTA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45005</v>
      </c>
      <c r="E487" s="1" t="n">
        <v>46300</v>
      </c>
      <c r="F487" t="inlineStr">
        <is>
          <t>KRONOBERGS LÄN</t>
        </is>
      </c>
      <c r="G487" t="inlineStr">
        <is>
          <t>ALVESTA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46300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44991</v>
      </c>
      <c r="E489" s="1" t="n">
        <v>46300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51210-2022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44868</v>
      </c>
      <c r="E490" s="1" t="n">
        <v>46300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46300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46300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46300</v>
      </c>
      <c r="F493" t="inlineStr">
        <is>
          <t>KRONOBERGS LÄN</t>
        </is>
      </c>
      <c r="G493" t="inlineStr">
        <is>
          <t>ALVESTA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46300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46300</v>
      </c>
      <c r="F495" t="inlineStr">
        <is>
          <t>KRONOBERGS LÄN</t>
        </is>
      </c>
      <c r="G495" t="inlineStr">
        <is>
          <t>ALVESTA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36949-2026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46300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46300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45247</v>
      </c>
      <c r="E498" s="1" t="n">
        <v>46300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46300</v>
      </c>
      <c r="F499" t="inlineStr">
        <is>
          <t>KRONOBERGS LÄN</t>
        </is>
      </c>
      <c r="G499" t="inlineStr">
        <is>
          <t>ALVESTA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53458-2024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45614</v>
      </c>
      <c r="E500" s="1" t="n">
        <v>46300</v>
      </c>
      <c r="F500" t="inlineStr">
        <is>
          <t>KRONOBERGS LÄN</t>
        </is>
      </c>
      <c r="G500" t="inlineStr">
        <is>
          <t>ALVESTA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46300</v>
      </c>
      <c r="F501" t="inlineStr">
        <is>
          <t>KRONOBERGS LÄN</t>
        </is>
      </c>
      <c r="G501" t="inlineStr">
        <is>
          <t>ALVESTA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46300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37095-2026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46274</v>
      </c>
      <c r="E503" s="1" t="n">
        <v>46300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46300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46279</v>
      </c>
      <c r="E505" s="1" t="n">
        <v>46300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45305</v>
      </c>
      <c r="E506" s="1" t="n">
        <v>46300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46281</v>
      </c>
      <c r="E507" s="1" t="n">
        <v>46300</v>
      </c>
      <c r="F507" t="inlineStr">
        <is>
          <t>KRONOBERGS LÄN</t>
        </is>
      </c>
      <c r="G507" t="inlineStr">
        <is>
          <t>ALVESTA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46300</v>
      </c>
      <c r="F508" t="inlineStr">
        <is>
          <t>KRONOBERGS LÄN</t>
        </is>
      </c>
      <c r="G508" t="inlineStr">
        <is>
          <t>ALVESTA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46300</v>
      </c>
      <c r="F509" t="inlineStr">
        <is>
          <t>KRONOBERGS LÄN</t>
        </is>
      </c>
      <c r="G509" t="inlineStr">
        <is>
          <t>ALVESTA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46300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45613</v>
      </c>
      <c r="E511" s="1" t="n">
        <v>46300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46300</v>
      </c>
      <c r="F512" t="inlineStr">
        <is>
          <t>KRONOBERGS LÄN</t>
        </is>
      </c>
      <c r="G512" t="inlineStr">
        <is>
          <t>ALVESTA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46300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46300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46300</v>
      </c>
      <c r="F515" t="inlineStr">
        <is>
          <t>KRONOBERGS LÄN</t>
        </is>
      </c>
      <c r="G515" t="inlineStr">
        <is>
          <t>ALVESTA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46300</v>
      </c>
      <c r="F516" t="inlineStr">
        <is>
          <t>KRONOBERGS LÄN</t>
        </is>
      </c>
      <c r="G516" t="inlineStr">
        <is>
          <t>ALVESTA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46300</v>
      </c>
      <c r="F517" t="inlineStr">
        <is>
          <t>KRONOBERGS LÄN</t>
        </is>
      </c>
      <c r="G517" t="inlineStr">
        <is>
          <t>ALVESTA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38921-2026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46286</v>
      </c>
      <c r="E518" s="1" t="n">
        <v>46300</v>
      </c>
      <c r="F518" t="inlineStr">
        <is>
          <t>KRONOBERGS LÄN</t>
        </is>
      </c>
      <c r="G518" t="inlineStr">
        <is>
          <t>ALVESTA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46300</v>
      </c>
      <c r="F519" t="inlineStr">
        <is>
          <t>KRONOBERGS LÄN</t>
        </is>
      </c>
      <c r="G519" t="inlineStr">
        <is>
          <t>ALVESTA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45362</v>
      </c>
      <c r="E520" s="1" t="n">
        <v>46300</v>
      </c>
      <c r="F520" t="inlineStr">
        <is>
          <t>KRONOBERGS LÄN</t>
        </is>
      </c>
      <c r="G520" t="inlineStr">
        <is>
          <t>ALVESTA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46286</v>
      </c>
      <c r="E521" s="1" t="n">
        <v>46300</v>
      </c>
      <c r="F521" t="inlineStr">
        <is>
          <t>KRONOBERGS LÄN</t>
        </is>
      </c>
      <c r="G521" t="inlineStr">
        <is>
          <t>ALVESTA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46300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46300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46241</v>
      </c>
      <c r="E524" s="1" t="n">
        <v>46300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46300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46300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46241</v>
      </c>
      <c r="E527" s="1" t="n">
        <v>46300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46300</v>
      </c>
      <c r="F528" t="inlineStr">
        <is>
          <t>KRONOBERGS LÄN</t>
        </is>
      </c>
      <c r="G528" t="inlineStr">
        <is>
          <t>ALVESTA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46300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46300</v>
      </c>
      <c r="F530" t="inlineStr">
        <is>
          <t>KRONOBERGS LÄN</t>
        </is>
      </c>
      <c r="G530" t="inlineStr">
        <is>
          <t>ALVESTA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46300</v>
      </c>
      <c r="F531" t="inlineStr">
        <is>
          <t>KRONOBERGS LÄN</t>
        </is>
      </c>
      <c r="G531" t="inlineStr">
        <is>
          <t>ALVESTA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46300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46300</v>
      </c>
      <c r="F533" t="inlineStr">
        <is>
          <t>KRONOBERGS LÄN</t>
        </is>
      </c>
      <c r="G533" t="inlineStr">
        <is>
          <t>ALVESTA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46300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44994</v>
      </c>
      <c r="E535" s="1" t="n">
        <v>46300</v>
      </c>
      <c r="F535" t="inlineStr">
        <is>
          <t>KRONOBERGS LÄN</t>
        </is>
      </c>
      <c r="G535" t="inlineStr">
        <is>
          <t>ALVESTA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46300</v>
      </c>
      <c r="F536" t="inlineStr">
        <is>
          <t>KRONOBERGS LÄN</t>
        </is>
      </c>
      <c r="G536" t="inlineStr">
        <is>
          <t>ALVESTA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45076</v>
      </c>
      <c r="E537" s="1" t="n">
        <v>46300</v>
      </c>
      <c r="F537" t="inlineStr">
        <is>
          <t>KRONOBERGS LÄN</t>
        </is>
      </c>
      <c r="G537" t="inlineStr">
        <is>
          <t>ALVESTA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46300</v>
      </c>
      <c r="F538" t="inlineStr">
        <is>
          <t>KRONOBERGS LÄN</t>
        </is>
      </c>
      <c r="G538" t="inlineStr">
        <is>
          <t>ALVESTA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46300</v>
      </c>
      <c r="F539" t="inlineStr">
        <is>
          <t>KRONOBERGS LÄN</t>
        </is>
      </c>
      <c r="G539" t="inlineStr">
        <is>
          <t>ALVESTA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45308</v>
      </c>
      <c r="E540" s="1" t="n">
        <v>46300</v>
      </c>
      <c r="F540" t="inlineStr">
        <is>
          <t>KRONOBERGS LÄN</t>
        </is>
      </c>
      <c r="G540" t="inlineStr">
        <is>
          <t>ALVESTA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45161</v>
      </c>
      <c r="E541" s="1" t="n">
        <v>46300</v>
      </c>
      <c r="F541" t="inlineStr">
        <is>
          <t>KRONOBERGS LÄN</t>
        </is>
      </c>
      <c r="G541" t="inlineStr">
        <is>
          <t>ALVESTA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46300</v>
      </c>
      <c r="F542" t="inlineStr">
        <is>
          <t>KRONOBERGS LÄN</t>
        </is>
      </c>
      <c r="G542" t="inlineStr">
        <is>
          <t>ALVESTA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34214-2024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45524</v>
      </c>
      <c r="E543" s="1" t="n">
        <v>46300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53917-2022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44880</v>
      </c>
      <c r="E544" s="1" t="n">
        <v>46300</v>
      </c>
      <c r="F544" t="inlineStr">
        <is>
          <t>KRONOBERGS LÄN</t>
        </is>
      </c>
      <c r="G544" t="inlineStr">
        <is>
          <t>ALVESTA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44907</v>
      </c>
      <c r="E545" s="1" t="n">
        <v>46300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46300</v>
      </c>
      <c r="F546" t="inlineStr">
        <is>
          <t>KRONOBERGS LÄN</t>
        </is>
      </c>
      <c r="G546" t="inlineStr">
        <is>
          <t>ALVESTA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46300</v>
      </c>
      <c r="F547" t="inlineStr">
        <is>
          <t>KRONOBERGS LÄN</t>
        </is>
      </c>
      <c r="G547" t="inlineStr">
        <is>
          <t>ALVESTA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46300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46300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12981-2024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45385</v>
      </c>
      <c r="E550" s="1" t="n">
        <v>46300</v>
      </c>
      <c r="F550" t="inlineStr">
        <is>
          <t>KRONOBERGS LÄN</t>
        </is>
      </c>
      <c r="G550" t="inlineStr">
        <is>
          <t>ALVESTA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45358</v>
      </c>
      <c r="E551" s="1" t="n">
        <v>46300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46300</v>
      </c>
      <c r="F552" t="inlineStr">
        <is>
          <t>KRONOBERGS LÄN</t>
        </is>
      </c>
      <c r="G552" t="inlineStr">
        <is>
          <t>ALVESTA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62645-2022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44925</v>
      </c>
      <c r="E553" s="1" t="n">
        <v>46300</v>
      </c>
      <c r="F553" t="inlineStr">
        <is>
          <t>KRONOBERGS LÄN</t>
        </is>
      </c>
      <c r="G553" t="inlineStr">
        <is>
          <t>ALVESTA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45302</v>
      </c>
      <c r="E554" s="1" t="n">
        <v>46300</v>
      </c>
      <c r="F554" t="inlineStr">
        <is>
          <t>KRONOBERGS LÄN</t>
        </is>
      </c>
      <c r="G554" t="inlineStr">
        <is>
          <t>ALVESTA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46300</v>
      </c>
      <c r="F555" t="inlineStr">
        <is>
          <t>KRONOBERGS LÄN</t>
        </is>
      </c>
      <c r="G555" t="inlineStr">
        <is>
          <t>ALVESTA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45032</v>
      </c>
      <c r="E556" s="1" t="n">
        <v>46300</v>
      </c>
      <c r="F556" t="inlineStr">
        <is>
          <t>KRONOBERGS LÄN</t>
        </is>
      </c>
      <c r="G556" t="inlineStr">
        <is>
          <t>ALVESTA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50703-2023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45217</v>
      </c>
      <c r="E557" s="1" t="n">
        <v>46300</v>
      </c>
      <c r="F557" t="inlineStr">
        <is>
          <t>KRONOBERGS LÄN</t>
        </is>
      </c>
      <c r="G557" t="inlineStr">
        <is>
          <t>ALVESTA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45128</v>
      </c>
      <c r="E558" s="1" t="n">
        <v>46300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46297</v>
      </c>
      <c r="E559" s="1" t="n">
        <v>46300</v>
      </c>
      <c r="F559" t="inlineStr">
        <is>
          <t>KRONOBERGS LÄN</t>
        </is>
      </c>
      <c r="G559" t="inlineStr">
        <is>
          <t>ALVESTA</t>
        </is>
      </c>
      <c r="H559" t="inlineStr">
        <is>
          <t>Övriga Aktiebolag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45744</v>
      </c>
      <c r="E560" s="1" t="n">
        <v>46300</v>
      </c>
      <c r="F560" t="inlineStr">
        <is>
          <t>KRONOBERGS LÄN</t>
        </is>
      </c>
      <c r="G560" t="inlineStr">
        <is>
          <t>ALVESTA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44747</v>
      </c>
      <c r="E561" s="1" t="n">
        <v>46300</v>
      </c>
      <c r="F561" t="inlineStr">
        <is>
          <t>KRONOBERGS LÄN</t>
        </is>
      </c>
      <c r="G561" t="inlineStr">
        <is>
          <t>ALVESTA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44978</v>
      </c>
      <c r="E562" s="1" t="n">
        <v>46300</v>
      </c>
      <c r="F562" t="inlineStr">
        <is>
          <t>KRONOBERGS LÄN</t>
        </is>
      </c>
      <c r="G562" t="inlineStr">
        <is>
          <t>ALVESTA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40836-2026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46296</v>
      </c>
      <c r="E563" s="1" t="n">
        <v>46300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44581</v>
      </c>
      <c r="E564" s="1" t="n">
        <v>46300</v>
      </c>
      <c r="F564" t="inlineStr">
        <is>
          <t>KRONOBERGS LÄN</t>
        </is>
      </c>
      <c r="G564" t="inlineStr">
        <is>
          <t>ALVESTA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37843-2024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46300</v>
      </c>
      <c r="F565" t="inlineStr">
        <is>
          <t>KRONOBERGS LÄN</t>
        </is>
      </c>
      <c r="G565" t="inlineStr">
        <is>
          <t>ALVESTA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45329</v>
      </c>
      <c r="E566" s="1" t="n">
        <v>46300</v>
      </c>
      <c r="F566" t="inlineStr">
        <is>
          <t>KRONOBERGS LÄN</t>
        </is>
      </c>
      <c r="G566" t="inlineStr">
        <is>
          <t>ALVESTA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45136</v>
      </c>
      <c r="E567" s="1" t="n">
        <v>46300</v>
      </c>
      <c r="F567" t="inlineStr">
        <is>
          <t>KRONOBERGS LÄN</t>
        </is>
      </c>
      <c r="G567" t="inlineStr">
        <is>
          <t>ALVESTA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45436</v>
      </c>
      <c r="E568" s="1" t="n">
        <v>46300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45555</v>
      </c>
      <c r="E569" s="1" t="n">
        <v>46300</v>
      </c>
      <c r="F569" t="inlineStr">
        <is>
          <t>KRONOBERGS LÄN</t>
        </is>
      </c>
      <c r="G569" t="inlineStr">
        <is>
          <t>ALVESTA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45565</v>
      </c>
      <c r="E570" s="1" t="n">
        <v>46300</v>
      </c>
      <c r="F570" t="inlineStr">
        <is>
          <t>KRONOBERGS LÄN</t>
        </is>
      </c>
      <c r="G570" t="inlineStr">
        <is>
          <t>ALVESTA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49407-2024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46300</v>
      </c>
      <c r="F571" t="inlineStr">
        <is>
          <t>KRONOBERGS LÄN</t>
        </is>
      </c>
      <c r="G571" t="inlineStr">
        <is>
          <t>ALVESTA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1927-2024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45308</v>
      </c>
      <c r="E572" s="1" t="n">
        <v>46300</v>
      </c>
      <c r="F572" t="inlineStr">
        <is>
          <t>KRONOBERGS LÄN</t>
        </is>
      </c>
      <c r="G572" t="inlineStr">
        <is>
          <t>ALVESTA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45146</v>
      </c>
      <c r="E573" s="1" t="n">
        <v>46300</v>
      </c>
      <c r="F573" t="inlineStr">
        <is>
          <t>KRONOBERGS LÄN</t>
        </is>
      </c>
      <c r="G573" t="inlineStr">
        <is>
          <t>ALVESTA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46300</v>
      </c>
      <c r="F574" t="inlineStr">
        <is>
          <t>KRONOBERGS LÄN</t>
        </is>
      </c>
      <c r="G574" t="inlineStr">
        <is>
          <t>ALVESTA</t>
        </is>
      </c>
      <c r="H574" t="inlineStr">
        <is>
          <t>Övriga Aktiebolag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26225-2022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44735</v>
      </c>
      <c r="E575" s="1" t="n">
        <v>46300</v>
      </c>
      <c r="F575" t="inlineStr">
        <is>
          <t>KRONOBERGS LÄN</t>
        </is>
      </c>
      <c r="G575" t="inlineStr">
        <is>
          <t>ALVESTA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54922-2024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46300</v>
      </c>
      <c r="F576" t="inlineStr">
        <is>
          <t>KRONOBERGS LÄN</t>
        </is>
      </c>
      <c r="G576" t="inlineStr">
        <is>
          <t>ALVESTA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45608</v>
      </c>
      <c r="E577" s="1" t="n">
        <v>46300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45342</v>
      </c>
      <c r="E578" s="1" t="n">
        <v>46300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57121-2022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44895</v>
      </c>
      <c r="E579" s="1" t="n">
        <v>46300</v>
      </c>
      <c r="F579" t="inlineStr">
        <is>
          <t>KRONOBERGS LÄN</t>
        </is>
      </c>
      <c r="G579" t="inlineStr">
        <is>
          <t>ALVESTA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46300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46300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45336</v>
      </c>
      <c r="E582" s="1" t="n">
        <v>46300</v>
      </c>
      <c r="F582" t="inlineStr">
        <is>
          <t>KRONOBERGS LÄN</t>
        </is>
      </c>
      <c r="G582" t="inlineStr">
        <is>
          <t>ALVESTA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72318-2021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44545</v>
      </c>
      <c r="E583" s="1" t="n">
        <v>46300</v>
      </c>
      <c r="F583" t="inlineStr">
        <is>
          <t>KRONOBERGS LÄN</t>
        </is>
      </c>
      <c r="G583" t="inlineStr">
        <is>
          <t>ALVESTA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45153</v>
      </c>
      <c r="E584" s="1" t="n">
        <v>46300</v>
      </c>
      <c r="F584" t="inlineStr">
        <is>
          <t>KRONOBERGS LÄN</t>
        </is>
      </c>
      <c r="G584" t="inlineStr">
        <is>
          <t>ALVESTA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45153</v>
      </c>
      <c r="E585" s="1" t="n">
        <v>46300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42397-2023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45180</v>
      </c>
      <c r="E586" s="1" t="n">
        <v>46300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38385-2022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44812</v>
      </c>
      <c r="E587" s="1" t="n">
        <v>46300</v>
      </c>
      <c r="F587" t="inlineStr">
        <is>
          <t>KRONOBERGS LÄN</t>
        </is>
      </c>
      <c r="G587" t="inlineStr">
        <is>
          <t>ALVESTA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46300</v>
      </c>
      <c r="F588" t="inlineStr">
        <is>
          <t>KRONOBERGS LÄN</t>
        </is>
      </c>
      <c r="G588" t="inlineStr">
        <is>
          <t>ALVESTA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46300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45471</v>
      </c>
      <c r="E590" s="1" t="n">
        <v>46300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45471</v>
      </c>
      <c r="E591" s="1" t="n">
        <v>46300</v>
      </c>
      <c r="F591" t="inlineStr">
        <is>
          <t>KRONOBERGS LÄN</t>
        </is>
      </c>
      <c r="G591" t="inlineStr">
        <is>
          <t>ALVESTA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45653</v>
      </c>
      <c r="E592" s="1" t="n">
        <v>46300</v>
      </c>
      <c r="F592" t="inlineStr">
        <is>
          <t>KRONOBERGS LÄN</t>
        </is>
      </c>
      <c r="G592" t="inlineStr">
        <is>
          <t>ALVESTA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22563-2024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45447</v>
      </c>
      <c r="E593" s="1" t="n">
        <v>46300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45328</v>
      </c>
      <c r="E594" s="1" t="n">
        <v>46300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45540</v>
      </c>
      <c r="E595" s="1" t="n">
        <v>46300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65094-2023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45288</v>
      </c>
      <c r="E596" s="1" t="n">
        <v>46300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46300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45712</v>
      </c>
      <c r="E598" s="1" t="n">
        <v>46300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39501-2024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46300</v>
      </c>
      <c r="F599" t="inlineStr">
        <is>
          <t>KRONOBERGS LÄN</t>
        </is>
      </c>
      <c r="G599" t="inlineStr">
        <is>
          <t>ALVESTA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12917-2024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46300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46300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45700</v>
      </c>
      <c r="E602" s="1" t="n">
        <v>46300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46300</v>
      </c>
      <c r="F603" t="inlineStr">
        <is>
          <t>KRONOBERGS LÄN</t>
        </is>
      </c>
      <c r="G603" t="inlineStr">
        <is>
          <t>ALVESTA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45407</v>
      </c>
      <c r="E604" s="1" t="n">
        <v>46300</v>
      </c>
      <c r="F604" t="inlineStr">
        <is>
          <t>KRONOBERGS LÄN</t>
        </is>
      </c>
      <c r="G604" t="inlineStr">
        <is>
          <t>ALVESTA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45418</v>
      </c>
      <c r="E605" s="1" t="n">
        <v>46300</v>
      </c>
      <c r="F605" t="inlineStr">
        <is>
          <t>KRONOBERGS LÄN</t>
        </is>
      </c>
      <c r="G605" t="inlineStr">
        <is>
          <t>ALVESTA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46300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46300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46300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46300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46300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46300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46300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46300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46300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46300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46300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46300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46300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46300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46300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46300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46300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46300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46300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46300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46300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46300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46300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46300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46300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46300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46300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46300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46300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46300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46300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2026-10-05T01:56:31Z</dcterms:created>
  <dcterms:modified xmlns:dcterms="http://purl.org/dc/terms/" xmlns:xsi="http://www.w3.org/2001/XMLSchema-instance" xsi:type="dcterms:W3CDTF">2026-10-05T01:56:31Z</dcterms:modified>
</cp:coreProperties>
</file>