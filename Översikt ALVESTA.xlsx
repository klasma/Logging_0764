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46276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46276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46276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46276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46276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46276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46276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46276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46276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46276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46276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46276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46276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46276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46276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46276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35257-2026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46261</v>
      </c>
      <c r="E29" s="1" t="n">
        <v>46276</v>
      </c>
      <c r="F29" t="inlineStr">
        <is>
          <t>KRONOBERGS LÄN</t>
        </is>
      </c>
      <c r="G29" t="inlineStr">
        <is>
          <t>ALVESTA</t>
        </is>
      </c>
      <c r="I29" t="n">
        <v>3.5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Sotvaxskivling
Västlig hakmossa</t>
        </is>
      </c>
      <c r="W29">
        <f>HYPERLINK("https://klasma.github.io/Logging_0764/artfynd/A 35257-2026 artfynd.xlsx", "A 35257-2026")</f>
        <v/>
      </c>
      <c r="X29">
        <f>HYPERLINK("https://klasma.github.io/Logging_0764/kartor/A 35257-2026 karta.png", "A 35257-2026")</f>
        <v/>
      </c>
      <c r="Y29">
        <f>HYPERLINK("https://klasma.github.io/Logging_0764/kartor_geotiff/A 35257-2026 georefererad karta.tif", "A 35257-2026")</f>
        <v/>
      </c>
      <c r="AA29">
        <f>HYPERLINK("https://klasma.github.io/Logging_0764/klagomål/A 35257-2026 FSC-klagomål.docx", "A 35257-2026")</f>
        <v/>
      </c>
      <c r="AB29">
        <f>HYPERLINK("https://klasma.github.io/Logging_0764/klagomålsmail/A 35257-2026 FSC-klagomål mail.docx", "A 35257-2026")</f>
        <v/>
      </c>
      <c r="AC29">
        <f>HYPERLINK("https://klasma.github.io/Logging_0764/tillsyn/A 35257-2026 tillsynsbegäran.docx", "A 35257-2026")</f>
        <v/>
      </c>
      <c r="AD29">
        <f>HYPERLINK("https://klasma.github.io/Logging_0764/tillsynsmail/A 35257-2026 tillsynsbegäran mail.docx", "A 35257-2026")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46276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46276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46276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46276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46276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44406-2024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45573</v>
      </c>
      <c r="E35" s="1" t="n">
        <v>46276</v>
      </c>
      <c r="F35" t="inlineStr">
        <is>
          <t>KRONOBERGS LÄN</t>
        </is>
      </c>
      <c r="G35" t="inlineStr">
        <is>
          <t>ALVESTA</t>
        </is>
      </c>
      <c r="I35" t="n">
        <v>1.1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44406-2024 artfynd.xlsx", "A 44406-2024")</f>
        <v/>
      </c>
      <c r="X35">
        <f>HYPERLINK("https://klasma.github.io/Logging_0764/kartor/A 44406-2024 karta.png", "A 44406-2024")</f>
        <v/>
      </c>
      <c r="Y35">
        <f>HYPERLINK("https://klasma.github.io/Logging_0764/kartor_geotiff/A 44406-2024 georefererad karta.tif", "A 44406-2024")</f>
        <v/>
      </c>
      <c r="AA35">
        <f>HYPERLINK("https://klasma.github.io/Logging_0764/klagomål/A 44406-2024 FSC-klagomål.docx", "A 44406-2024")</f>
        <v/>
      </c>
      <c r="AB35">
        <f>HYPERLINK("https://klasma.github.io/Logging_0764/klagomålsmail/A 44406-2024 FSC-klagomål mail.docx", "A 44406-2024")</f>
        <v/>
      </c>
      <c r="AC35">
        <f>HYPERLINK("https://klasma.github.io/Logging_0764/tillsyn/A 44406-2024 tillsynsbegäran.docx", "A 44406-2024")</f>
        <v/>
      </c>
      <c r="AD35">
        <f>HYPERLINK("https://klasma.github.io/Logging_0764/tillsynsmail/A 44406-2024 tillsynsbegäran mail.docx", "A 44406-2024")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46276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46276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46276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46276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46276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46276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46276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46276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47338-2022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46276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HYPERLINK("https://klasma.github.io/Logging_0764/artfynd/A 47338-2022 artfynd.xlsx", "A 47338-2022")</f>
        <v/>
      </c>
      <c r="X44">
        <f>HYPERLINK("https://klasma.github.io/Logging_0764/kartor/A 47338-2022 karta.png", "A 47338-2022")</f>
        <v/>
      </c>
      <c r="Y44">
        <f>HYPERLINK("https://klasma.github.io/Logging_0764/kartor_geotiff/A 47338-2022 georefererad karta.tif", "A 47338-2022")</f>
        <v/>
      </c>
      <c r="AA44">
        <f>HYPERLINK("https://klasma.github.io/Logging_0764/klagomål/A 47338-2022 FSC-klagomål.docx", "A 47338-2022")</f>
        <v/>
      </c>
      <c r="AB44">
        <f>HYPERLINK("https://klasma.github.io/Logging_0764/klagomålsmail/A 47338-2022 FSC-klagomål mail.docx", "A 47338-2022")</f>
        <v/>
      </c>
      <c r="AC44">
        <f>HYPERLINK("https://klasma.github.io/Logging_0764/tillsyn/A 47338-2022 tillsynsbegäran.docx", "A 47338-2022")</f>
        <v/>
      </c>
      <c r="AD44">
        <f>HYPERLINK("https://klasma.github.io/Logging_0764/tillsynsmail/A 47338-2022 tillsynsbegäran mail.docx", "A 47338-2022")</f>
        <v/>
      </c>
      <c r="AE44">
        <f>HYPERLINK("https://klasma.github.io/Logging_0764/fåglar/A 47338-2022 prioriterade fågelarter.docx", "A 47338-2022")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46276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46276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46276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50486-2021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44459</v>
      </c>
      <c r="E48" s="1" t="n">
        <v>46276</v>
      </c>
      <c r="F48" t="inlineStr">
        <is>
          <t>KRONOBERGS LÄN</t>
        </is>
      </c>
      <c r="G48" t="inlineStr">
        <is>
          <t>ALVESTA</t>
        </is>
      </c>
      <c r="I48" t="n">
        <v>9.1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Västlig hakmossa</t>
        </is>
      </c>
      <c r="W48">
        <f>HYPERLINK("https://klasma.github.io/Logging_0764/artfynd/A 50486-2021 artfynd.xlsx", "A 50486-2021")</f>
        <v/>
      </c>
      <c r="X48">
        <f>HYPERLINK("https://klasma.github.io/Logging_0764/kartor/A 50486-2021 karta.png", "A 50486-2021")</f>
        <v/>
      </c>
      <c r="Y48">
        <f>HYPERLINK("https://klasma.github.io/Logging_0764/kartor_geotiff/A 50486-2021 georefererad karta.tif", "A 50486-2021")</f>
        <v/>
      </c>
      <c r="AA48">
        <f>HYPERLINK("https://klasma.github.io/Logging_0764/klagomål/A 50486-2021 FSC-klagomål.docx", "A 50486-2021")</f>
        <v/>
      </c>
      <c r="AB48">
        <f>HYPERLINK("https://klasma.github.io/Logging_0764/klagomålsmail/A 50486-2021 FSC-klagomål mail.docx", "A 50486-2021")</f>
        <v/>
      </c>
      <c r="AC48">
        <f>HYPERLINK("https://klasma.github.io/Logging_0764/tillsyn/A 50486-2021 tillsynsbegäran.docx", "A 50486-2021")</f>
        <v/>
      </c>
      <c r="AD48">
        <f>HYPERLINK("https://klasma.github.io/Logging_0764/tillsynsmail/A 50486-2021 tillsynsbegäran mail.docx", "A 50486-2021")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46276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43766-2023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46276</v>
      </c>
      <c r="F50" t="inlineStr">
        <is>
          <t>KRONOBERGS LÄN</t>
        </is>
      </c>
      <c r="G50" t="inlineStr">
        <is>
          <t>ALVESTA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HYPERLINK("https://klasma.github.io/Logging_0764/artfynd/A 43766-2023 artfynd.xlsx", "A 43766-2023")</f>
        <v/>
      </c>
      <c r="X50">
        <f>HYPERLINK("https://klasma.github.io/Logging_0764/kartor/A 43766-2023 karta.png", "A 43766-2023")</f>
        <v/>
      </c>
      <c r="Y50">
        <f>HYPERLINK("https://klasma.github.io/Logging_0764/kartor_geotiff/A 43766-2023 georefererad karta.tif", "A 43766-2023")</f>
        <v/>
      </c>
      <c r="AA50">
        <f>HYPERLINK("https://klasma.github.io/Logging_0764/klagomål/A 43766-2023 FSC-klagomål.docx", "A 43766-2023")</f>
        <v/>
      </c>
      <c r="AB50">
        <f>HYPERLINK("https://klasma.github.io/Logging_0764/klagomålsmail/A 43766-2023 FSC-klagomål mail.docx", "A 43766-2023")</f>
        <v/>
      </c>
      <c r="AC50">
        <f>HYPERLINK("https://klasma.github.io/Logging_0764/tillsyn/A 43766-2023 tillsynsbegäran.docx", "A 43766-2023")</f>
        <v/>
      </c>
      <c r="AD50">
        <f>HYPERLINK("https://klasma.github.io/Logging_0764/tillsynsmail/A 43766-2023 tillsynsbegäran mail.docx", "A 43766-2023")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46276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46276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46276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46276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46276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46276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46276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46276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46276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46276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46276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44454</v>
      </c>
      <c r="E62" s="1" t="n">
        <v>46276</v>
      </c>
      <c r="F62" t="inlineStr">
        <is>
          <t>KRONOBERGS LÄN</t>
        </is>
      </c>
      <c r="G62" t="inlineStr">
        <is>
          <t>ALVESTA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44597</v>
      </c>
      <c r="E63" s="1" t="n">
        <v>46276</v>
      </c>
      <c r="F63" t="inlineStr">
        <is>
          <t>KRONOBERGS LÄN</t>
        </is>
      </c>
      <c r="G63" t="inlineStr">
        <is>
          <t>ALVESTA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46276</v>
      </c>
      <c r="F64" t="inlineStr">
        <is>
          <t>KRONOBERGS LÄN</t>
        </is>
      </c>
      <c r="G64" t="inlineStr">
        <is>
          <t>ALVESTA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46276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46276</v>
      </c>
      <c r="F66" t="inlineStr">
        <is>
          <t>KRONOBERGS LÄN</t>
        </is>
      </c>
      <c r="G66" t="inlineStr">
        <is>
          <t>ALVESTA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46276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46276</v>
      </c>
      <c r="F68" t="inlineStr">
        <is>
          <t>KRONOBERGS LÄN</t>
        </is>
      </c>
      <c r="G68" t="inlineStr">
        <is>
          <t>ALVESTA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46276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46276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46276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46276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46276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46276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46276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46276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46276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46276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46276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46276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46276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46276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46276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46276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46276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46276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46276</v>
      </c>
      <c r="F87" t="inlineStr">
        <is>
          <t>KRONOBERGS LÄN</t>
        </is>
      </c>
      <c r="G87" t="inlineStr">
        <is>
          <t>ALVESTA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46276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46276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46276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46276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46276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46276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46276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46276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46276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46276</v>
      </c>
      <c r="F97" t="inlineStr">
        <is>
          <t>KRONOBERGS LÄN</t>
        </is>
      </c>
      <c r="G97" t="inlineStr">
        <is>
          <t>ALVESTA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46276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46276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70869-2021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44538</v>
      </c>
      <c r="E100" s="1" t="n">
        <v>46276</v>
      </c>
      <c r="F100" t="inlineStr">
        <is>
          <t>KRONOBERGS LÄN</t>
        </is>
      </c>
      <c r="G100" t="inlineStr">
        <is>
          <t>ALVESTA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46276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46276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46276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46276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46276</v>
      </c>
      <c r="F105" t="inlineStr">
        <is>
          <t>KRONOBERGS LÄN</t>
        </is>
      </c>
      <c r="G105" t="inlineStr">
        <is>
          <t>ALVESTA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46276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46276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46276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46276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46276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46276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46276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46276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46276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46276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46276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45338</v>
      </c>
      <c r="E117" s="1" t="n">
        <v>46276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46276</v>
      </c>
      <c r="F118" t="inlineStr">
        <is>
          <t>KRONOBERGS LÄN</t>
        </is>
      </c>
      <c r="G118" t="inlineStr">
        <is>
          <t>ALVESTA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46276</v>
      </c>
      <c r="F119" t="inlineStr">
        <is>
          <t>KRONOBERGS LÄN</t>
        </is>
      </c>
      <c r="G119" t="inlineStr">
        <is>
          <t>ALVESTA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44783</v>
      </c>
      <c r="E120" s="1" t="n">
        <v>46276</v>
      </c>
      <c r="F120" t="inlineStr">
        <is>
          <t>KRONOBERGS LÄN</t>
        </is>
      </c>
      <c r="G120" t="inlineStr">
        <is>
          <t>ALVESTA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46276</v>
      </c>
      <c r="F121" t="inlineStr">
        <is>
          <t>KRONOBERGS LÄN</t>
        </is>
      </c>
      <c r="G121" t="inlineStr">
        <is>
          <t>ALVESTA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46276</v>
      </c>
      <c r="F122" t="inlineStr">
        <is>
          <t>KRONOBERGS LÄN</t>
        </is>
      </c>
      <c r="G122" t="inlineStr">
        <is>
          <t>ALVESTA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46276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44569</v>
      </c>
      <c r="E124" s="1" t="n">
        <v>46276</v>
      </c>
      <c r="F124" t="inlineStr">
        <is>
          <t>KRONOBERGS LÄN</t>
        </is>
      </c>
      <c r="G124" t="inlineStr">
        <is>
          <t>ALVESTA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46276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45530</v>
      </c>
      <c r="E126" s="1" t="n">
        <v>46276</v>
      </c>
      <c r="F126" t="inlineStr">
        <is>
          <t>KRONOBERGS LÄN</t>
        </is>
      </c>
      <c r="G126" t="inlineStr">
        <is>
          <t>ALVESTA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46276</v>
      </c>
      <c r="F127" t="inlineStr">
        <is>
          <t>KRONOBERGS LÄN</t>
        </is>
      </c>
      <c r="G127" t="inlineStr">
        <is>
          <t>ALVESTA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44783</v>
      </c>
      <c r="E128" s="1" t="n">
        <v>46276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46276</v>
      </c>
      <c r="F129" t="inlineStr">
        <is>
          <t>KRONOBERGS LÄN</t>
        </is>
      </c>
      <c r="G129" t="inlineStr">
        <is>
          <t>ALVESTA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46276</v>
      </c>
      <c r="F130" t="inlineStr">
        <is>
          <t>KRONOBERGS LÄN</t>
        </is>
      </c>
      <c r="G130" t="inlineStr">
        <is>
          <t>ALVESTA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46276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45012</v>
      </c>
      <c r="E132" s="1" t="n">
        <v>46276</v>
      </c>
      <c r="F132" t="inlineStr">
        <is>
          <t>KRONOBERGS LÄN</t>
        </is>
      </c>
      <c r="G132" t="inlineStr">
        <is>
          <t>ALVESTA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46276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46276</v>
      </c>
      <c r="F134" t="inlineStr">
        <is>
          <t>KRONOBERGS LÄN</t>
        </is>
      </c>
      <c r="G134" t="inlineStr">
        <is>
          <t>ALVESTA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46276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44687</v>
      </c>
      <c r="E136" s="1" t="n">
        <v>46276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46276</v>
      </c>
      <c r="F137" t="inlineStr">
        <is>
          <t>KRONOBERGS LÄN</t>
        </is>
      </c>
      <c r="G137" t="inlineStr">
        <is>
          <t>ALVESTA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46276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46276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46276</v>
      </c>
      <c r="F140" t="inlineStr">
        <is>
          <t>KRONOBERGS LÄN</t>
        </is>
      </c>
      <c r="G140" t="inlineStr">
        <is>
          <t>ALVESTA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46276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46276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44735</v>
      </c>
      <c r="E143" s="1" t="n">
        <v>46276</v>
      </c>
      <c r="F143" t="inlineStr">
        <is>
          <t>KRONOBERGS LÄN</t>
        </is>
      </c>
      <c r="G143" t="inlineStr">
        <is>
          <t>ALVESTA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45247</v>
      </c>
      <c r="E144" s="1" t="n">
        <v>46276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46276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45135</v>
      </c>
      <c r="E146" s="1" t="n">
        <v>46276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44970</v>
      </c>
      <c r="E147" s="1" t="n">
        <v>46276</v>
      </c>
      <c r="F147" t="inlineStr">
        <is>
          <t>KRONOBERGS LÄN</t>
        </is>
      </c>
      <c r="G147" t="inlineStr">
        <is>
          <t>ALVESTA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60487-2023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45259</v>
      </c>
      <c r="E148" s="1" t="n">
        <v>46276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46276</v>
      </c>
      <c r="F149" t="inlineStr">
        <is>
          <t>KRONOBERGS LÄN</t>
        </is>
      </c>
      <c r="G149" t="inlineStr">
        <is>
          <t>ALVESTA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46276</v>
      </c>
      <c r="F150" t="inlineStr">
        <is>
          <t>KRONOBERGS LÄN</t>
        </is>
      </c>
      <c r="G150" t="inlineStr">
        <is>
          <t>ALVESTA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46276</v>
      </c>
      <c r="F151" t="inlineStr">
        <is>
          <t>KRONOBERGS LÄN</t>
        </is>
      </c>
      <c r="G151" t="inlineStr">
        <is>
          <t>ALVESTA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45391</v>
      </c>
      <c r="E152" s="1" t="n">
        <v>46276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45418</v>
      </c>
      <c r="E153" s="1" t="n">
        <v>46276</v>
      </c>
      <c r="F153" t="inlineStr">
        <is>
          <t>KRONOBERGS LÄN</t>
        </is>
      </c>
      <c r="G153" t="inlineStr">
        <is>
          <t>ALVESTA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46276</v>
      </c>
      <c r="F154" t="inlineStr">
        <is>
          <t>KRONOBERGS LÄN</t>
        </is>
      </c>
      <c r="G154" t="inlineStr">
        <is>
          <t>ALVESTA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45518</v>
      </c>
      <c r="E155" s="1" t="n">
        <v>46276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46276</v>
      </c>
      <c r="F156" t="inlineStr">
        <is>
          <t>KRONOBERGS LÄN</t>
        </is>
      </c>
      <c r="G156" t="inlineStr">
        <is>
          <t>ALVESTA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46276</v>
      </c>
      <c r="F157" t="inlineStr">
        <is>
          <t>KRONOBERGS LÄN</t>
        </is>
      </c>
      <c r="G157" t="inlineStr">
        <is>
          <t>ALVESTA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25220-2025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45798</v>
      </c>
      <c r="E158" s="1" t="n">
        <v>46276</v>
      </c>
      <c r="F158" t="inlineStr">
        <is>
          <t>KRONOBERGS LÄN</t>
        </is>
      </c>
      <c r="G158" t="inlineStr">
        <is>
          <t>ALVESTA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44601</v>
      </c>
      <c r="E159" s="1" t="n">
        <v>46276</v>
      </c>
      <c r="F159" t="inlineStr">
        <is>
          <t>KRONOBERGS LÄN</t>
        </is>
      </c>
      <c r="G159" t="inlineStr">
        <is>
          <t>ALVESTA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46276</v>
      </c>
      <c r="F160" t="inlineStr">
        <is>
          <t>KRONOBERGS LÄN</t>
        </is>
      </c>
      <c r="G160" t="inlineStr">
        <is>
          <t>ALVESTA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46276</v>
      </c>
      <c r="F161" t="inlineStr">
        <is>
          <t>KRONOBERGS LÄN</t>
        </is>
      </c>
      <c r="G161" t="inlineStr">
        <is>
          <t>ALVESTA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46276</v>
      </c>
      <c r="F162" t="inlineStr">
        <is>
          <t>KRONOBERGS LÄN</t>
        </is>
      </c>
      <c r="G162" t="inlineStr">
        <is>
          <t>ALVESTA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45476</v>
      </c>
      <c r="E163" s="1" t="n">
        <v>46276</v>
      </c>
      <c r="F163" t="inlineStr">
        <is>
          <t>KRONOBERGS LÄN</t>
        </is>
      </c>
      <c r="G163" t="inlineStr">
        <is>
          <t>ALVESTA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44957</v>
      </c>
      <c r="E164" s="1" t="n">
        <v>46276</v>
      </c>
      <c r="F164" t="inlineStr">
        <is>
          <t>KRONOBERGS LÄN</t>
        </is>
      </c>
      <c r="G164" t="inlineStr">
        <is>
          <t>ALVESTA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44816</v>
      </c>
      <c r="E165" s="1" t="n">
        <v>46276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44490</v>
      </c>
      <c r="E166" s="1" t="n">
        <v>46276</v>
      </c>
      <c r="F166" t="inlineStr">
        <is>
          <t>KRONOBERGS LÄN</t>
        </is>
      </c>
      <c r="G166" t="inlineStr">
        <is>
          <t>ALVESTA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46276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46276</v>
      </c>
      <c r="F168" t="inlineStr">
        <is>
          <t>KRONOBERGS LÄN</t>
        </is>
      </c>
      <c r="G168" t="inlineStr">
        <is>
          <t>ALVESTA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46276</v>
      </c>
      <c r="F169" t="inlineStr">
        <is>
          <t>KRONOBERGS LÄN</t>
        </is>
      </c>
      <c r="G169" t="inlineStr">
        <is>
          <t>ALVESTA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44818-2024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45574</v>
      </c>
      <c r="E170" s="1" t="n">
        <v>46276</v>
      </c>
      <c r="F170" t="inlineStr">
        <is>
          <t>KRONOBERGS LÄN</t>
        </is>
      </c>
      <c r="G170" t="inlineStr">
        <is>
          <t>ALVESTA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46276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46276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46276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46276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46276</v>
      </c>
      <c r="F175" t="inlineStr">
        <is>
          <t>KRONOBERGS LÄN</t>
        </is>
      </c>
      <c r="G175" t="inlineStr">
        <is>
          <t>ALVESTA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46276</v>
      </c>
      <c r="F176" t="inlineStr">
        <is>
          <t>KRONOBERGS LÄN</t>
        </is>
      </c>
      <c r="G176" t="inlineStr">
        <is>
          <t>ALVESTA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62704-2021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44504</v>
      </c>
      <c r="E177" s="1" t="n">
        <v>46276</v>
      </c>
      <c r="F177" t="inlineStr">
        <is>
          <t>KRONOBERGS LÄN</t>
        </is>
      </c>
      <c r="G177" t="inlineStr">
        <is>
          <t>ALVESTA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8293-2025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45708</v>
      </c>
      <c r="E178" s="1" t="n">
        <v>46276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46276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45337</v>
      </c>
      <c r="E180" s="1" t="n">
        <v>46276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45229</v>
      </c>
      <c r="E181" s="1" t="n">
        <v>46276</v>
      </c>
      <c r="F181" t="inlineStr">
        <is>
          <t>KRONOBERGS LÄN</t>
        </is>
      </c>
      <c r="G181" t="inlineStr">
        <is>
          <t>ALVESTA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46276</v>
      </c>
      <c r="F182" t="inlineStr">
        <is>
          <t>KRONOBERGS LÄN</t>
        </is>
      </c>
      <c r="G182" t="inlineStr">
        <is>
          <t>ALVESTA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46276</v>
      </c>
      <c r="F183" t="inlineStr">
        <is>
          <t>KRONOBERGS LÄN</t>
        </is>
      </c>
      <c r="G183" t="inlineStr">
        <is>
          <t>ALVESTA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46276</v>
      </c>
      <c r="F184" t="inlineStr">
        <is>
          <t>KRONOBERGS LÄN</t>
        </is>
      </c>
      <c r="G184" t="inlineStr">
        <is>
          <t>ALVESTA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46276</v>
      </c>
      <c r="F185" t="inlineStr">
        <is>
          <t>KRONOBERGS LÄN</t>
        </is>
      </c>
      <c r="G185" t="inlineStr">
        <is>
          <t>ALVESTA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46276</v>
      </c>
      <c r="F186" t="inlineStr">
        <is>
          <t>KRONOBERGS LÄN</t>
        </is>
      </c>
      <c r="G186" t="inlineStr">
        <is>
          <t>ALVESTA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46276</v>
      </c>
      <c r="F187" t="inlineStr">
        <is>
          <t>KRONOBERGS LÄN</t>
        </is>
      </c>
      <c r="G187" t="inlineStr">
        <is>
          <t>ALVESTA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46276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46276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44839</v>
      </c>
      <c r="E190" s="1" t="n">
        <v>46276</v>
      </c>
      <c r="F190" t="inlineStr">
        <is>
          <t>KRONOBERGS LÄN</t>
        </is>
      </c>
      <c r="G190" t="inlineStr">
        <is>
          <t>ALVESTA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45385</v>
      </c>
      <c r="E191" s="1" t="n">
        <v>46276</v>
      </c>
      <c r="F191" t="inlineStr">
        <is>
          <t>KRONOBERGS LÄN</t>
        </is>
      </c>
      <c r="G191" t="inlineStr">
        <is>
          <t>ALVESTA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46276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46276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46276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46276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46276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46276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46276</v>
      </c>
      <c r="F198" t="inlineStr">
        <is>
          <t>KRONOBERGS LÄN</t>
        </is>
      </c>
      <c r="G198" t="inlineStr">
        <is>
          <t>ALVESTA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46276</v>
      </c>
      <c r="F199" t="inlineStr">
        <is>
          <t>KRONOBERGS LÄN</t>
        </is>
      </c>
      <c r="G199" t="inlineStr">
        <is>
          <t>ALVESTA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45833</v>
      </c>
      <c r="E200" s="1" t="n">
        <v>46276</v>
      </c>
      <c r="F200" t="inlineStr">
        <is>
          <t>KRONOBERGS LÄN</t>
        </is>
      </c>
      <c r="G200" t="inlineStr">
        <is>
          <t>ALVESTA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25615-2024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45463</v>
      </c>
      <c r="E201" s="1" t="n">
        <v>46276</v>
      </c>
      <c r="F201" t="inlineStr">
        <is>
          <t>KRONOBERGS LÄN</t>
        </is>
      </c>
      <c r="G201" t="inlineStr">
        <is>
          <t>ALVESTA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46276</v>
      </c>
      <c r="F202" t="inlineStr">
        <is>
          <t>KRONOBERGS LÄN</t>
        </is>
      </c>
      <c r="G202" t="inlineStr">
        <is>
          <t>ALVESTA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46276</v>
      </c>
      <c r="F203" t="inlineStr">
        <is>
          <t>KRONOBERGS LÄN</t>
        </is>
      </c>
      <c r="G203" t="inlineStr">
        <is>
          <t>ALVESTA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46276</v>
      </c>
      <c r="F204" t="inlineStr">
        <is>
          <t>KRONOBERGS LÄN</t>
        </is>
      </c>
      <c r="G204" t="inlineStr">
        <is>
          <t>ALVESTA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45544</v>
      </c>
      <c r="E205" s="1" t="n">
        <v>46276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57118-2023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45245</v>
      </c>
      <c r="E206" s="1" t="n">
        <v>46276</v>
      </c>
      <c r="F206" t="inlineStr">
        <is>
          <t>KRONOBERGS LÄN</t>
        </is>
      </c>
      <c r="G206" t="inlineStr">
        <is>
          <t>ALVESTA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46276</v>
      </c>
      <c r="F207" t="inlineStr">
        <is>
          <t>KRONOBERGS LÄN</t>
        </is>
      </c>
      <c r="G207" t="inlineStr">
        <is>
          <t>ALVESTA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44901</v>
      </c>
      <c r="E208" s="1" t="n">
        <v>46276</v>
      </c>
      <c r="F208" t="inlineStr">
        <is>
          <t>KRONOBERGS LÄN</t>
        </is>
      </c>
      <c r="G208" t="inlineStr">
        <is>
          <t>ALVESTA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44901</v>
      </c>
      <c r="E209" s="1" t="n">
        <v>46276</v>
      </c>
      <c r="F209" t="inlineStr">
        <is>
          <t>KRONOBERGS LÄN</t>
        </is>
      </c>
      <c r="G209" t="inlineStr">
        <is>
          <t>ALVESTA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46276</v>
      </c>
      <c r="F210" t="inlineStr">
        <is>
          <t>KRONOBERGS LÄN</t>
        </is>
      </c>
      <c r="G210" t="inlineStr">
        <is>
          <t>ALVESTA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46276</v>
      </c>
      <c r="F211" t="inlineStr">
        <is>
          <t>KRONOBERGS LÄN</t>
        </is>
      </c>
      <c r="G211" t="inlineStr">
        <is>
          <t>ALVESTA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46276</v>
      </c>
      <c r="F212" t="inlineStr">
        <is>
          <t>KRONOBERGS LÄN</t>
        </is>
      </c>
      <c r="G212" t="inlineStr">
        <is>
          <t>ALVESTA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46276</v>
      </c>
      <c r="F213" t="inlineStr">
        <is>
          <t>KRONOBERGS LÄN</t>
        </is>
      </c>
      <c r="G213" t="inlineStr">
        <is>
          <t>ALVESTA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45338</v>
      </c>
      <c r="E214" s="1" t="n">
        <v>46276</v>
      </c>
      <c r="F214" t="inlineStr">
        <is>
          <t>KRONOBERGS LÄN</t>
        </is>
      </c>
      <c r="G214" t="inlineStr">
        <is>
          <t>ALVESTA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45338</v>
      </c>
      <c r="E215" s="1" t="n">
        <v>46276</v>
      </c>
      <c r="F215" t="inlineStr">
        <is>
          <t>KRONOBERGS LÄN</t>
        </is>
      </c>
      <c r="G215" t="inlineStr">
        <is>
          <t>ALVESTA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45345</v>
      </c>
      <c r="E216" s="1" t="n">
        <v>46276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46276</v>
      </c>
      <c r="F217" t="inlineStr">
        <is>
          <t>KRONOBERGS LÄN</t>
        </is>
      </c>
      <c r="G217" t="inlineStr">
        <is>
          <t>ALVESTA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25261-2024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45462</v>
      </c>
      <c r="E218" s="1" t="n">
        <v>46276</v>
      </c>
      <c r="F218" t="inlineStr">
        <is>
          <t>KRONOBERGS LÄN</t>
        </is>
      </c>
      <c r="G218" t="inlineStr">
        <is>
          <t>ALVESTA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46276</v>
      </c>
      <c r="F219" t="inlineStr">
        <is>
          <t>KRONOBERGS LÄN</t>
        </is>
      </c>
      <c r="G219" t="inlineStr">
        <is>
          <t>ALVESTA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46276</v>
      </c>
      <c r="F220" t="inlineStr">
        <is>
          <t>KRONOBERGS LÄN</t>
        </is>
      </c>
      <c r="G220" t="inlineStr">
        <is>
          <t>ALVESTA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46276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46276</v>
      </c>
      <c r="F222" t="inlineStr">
        <is>
          <t>KRONOBERGS LÄN</t>
        </is>
      </c>
      <c r="G222" t="inlineStr">
        <is>
          <t>ALVESTA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46276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46276</v>
      </c>
      <c r="F224" t="inlineStr">
        <is>
          <t>KRONOBERGS LÄN</t>
        </is>
      </c>
      <c r="G224" t="inlineStr">
        <is>
          <t>ALVESTA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44948</v>
      </c>
      <c r="E225" s="1" t="n">
        <v>46276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46276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46276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45628</v>
      </c>
      <c r="E228" s="1" t="n">
        <v>46276</v>
      </c>
      <c r="F228" t="inlineStr">
        <is>
          <t>KRONOBERGS LÄN</t>
        </is>
      </c>
      <c r="G228" t="inlineStr">
        <is>
          <t>ALVESTA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45000</v>
      </c>
      <c r="E229" s="1" t="n">
        <v>46276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46276</v>
      </c>
      <c r="F230" t="inlineStr">
        <is>
          <t>KRONOBERGS LÄN</t>
        </is>
      </c>
      <c r="G230" t="inlineStr">
        <is>
          <t>ALVESTA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45593</v>
      </c>
      <c r="E231" s="1" t="n">
        <v>46276</v>
      </c>
      <c r="F231" t="inlineStr">
        <is>
          <t>KRONOBERGS LÄN</t>
        </is>
      </c>
      <c r="G231" t="inlineStr">
        <is>
          <t>ALVESTA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44495</v>
      </c>
      <c r="E232" s="1" t="n">
        <v>46276</v>
      </c>
      <c r="F232" t="inlineStr">
        <is>
          <t>KRONOBERGS LÄN</t>
        </is>
      </c>
      <c r="G232" t="inlineStr">
        <is>
          <t>ALVESTA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46276</v>
      </c>
      <c r="F233" t="inlineStr">
        <is>
          <t>KRONOBERGS LÄN</t>
        </is>
      </c>
      <c r="G233" t="inlineStr">
        <is>
          <t>ALVESTA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45868</v>
      </c>
      <c r="E234" s="1" t="n">
        <v>46276</v>
      </c>
      <c r="F234" t="inlineStr">
        <is>
          <t>KRONOBERGS LÄN</t>
        </is>
      </c>
      <c r="G234" t="inlineStr">
        <is>
          <t>ALVESTA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45467</v>
      </c>
      <c r="E235" s="1" t="n">
        <v>46276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46276</v>
      </c>
      <c r="F236" t="inlineStr">
        <is>
          <t>KRONOBERGS LÄN</t>
        </is>
      </c>
      <c r="G236" t="inlineStr">
        <is>
          <t>ALVESTA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45005</v>
      </c>
      <c r="E237" s="1" t="n">
        <v>46276</v>
      </c>
      <c r="F237" t="inlineStr">
        <is>
          <t>KRONOBERGS LÄN</t>
        </is>
      </c>
      <c r="G237" t="inlineStr">
        <is>
          <t>ALVESTA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46276</v>
      </c>
      <c r="F238" t="inlineStr">
        <is>
          <t>KRONOBERGS LÄN</t>
        </is>
      </c>
      <c r="G238" t="inlineStr">
        <is>
          <t>ALVESTA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46276</v>
      </c>
      <c r="F239" t="inlineStr">
        <is>
          <t>KRONOBERGS LÄN</t>
        </is>
      </c>
      <c r="G239" t="inlineStr">
        <is>
          <t>ALVESTA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45875</v>
      </c>
      <c r="E240" s="1" t="n">
        <v>46276</v>
      </c>
      <c r="F240" t="inlineStr">
        <is>
          <t>KRONOBERGS LÄN</t>
        </is>
      </c>
      <c r="G240" t="inlineStr">
        <is>
          <t>ALVESTA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46276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44528-2025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45916</v>
      </c>
      <c r="E242" s="1" t="n">
        <v>46276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46276</v>
      </c>
      <c r="F243" t="inlineStr">
        <is>
          <t>KRONOBERGS LÄN</t>
        </is>
      </c>
      <c r="G243" t="inlineStr">
        <is>
          <t>ALVESTA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44743</v>
      </c>
      <c r="E244" s="1" t="n">
        <v>46276</v>
      </c>
      <c r="F244" t="inlineStr">
        <is>
          <t>KRONOBERGS LÄN</t>
        </is>
      </c>
      <c r="G244" t="inlineStr">
        <is>
          <t>ALVESTA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46276</v>
      </c>
      <c r="F245" t="inlineStr">
        <is>
          <t>KRONOBERGS LÄN</t>
        </is>
      </c>
      <c r="G245" t="inlineStr">
        <is>
          <t>ALVESTA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44749</v>
      </c>
      <c r="E246" s="1" t="n">
        <v>46276</v>
      </c>
      <c r="F246" t="inlineStr">
        <is>
          <t>KRONOBERGS LÄN</t>
        </is>
      </c>
      <c r="G246" t="inlineStr">
        <is>
          <t>ALVESTA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46051</v>
      </c>
      <c r="E247" s="1" t="n">
        <v>46276</v>
      </c>
      <c r="F247" t="inlineStr">
        <is>
          <t>KRONOBERGS LÄN</t>
        </is>
      </c>
      <c r="G247" t="inlineStr">
        <is>
          <t>ALVESTA</t>
        </is>
      </c>
      <c r="H247" t="inlineStr">
        <is>
          <t>Kyrkan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46276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46276</v>
      </c>
      <c r="F249" t="inlineStr">
        <is>
          <t>KRONOBERGS LÄN</t>
        </is>
      </c>
      <c r="G249" t="inlineStr">
        <is>
          <t>ALVESTA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45015</v>
      </c>
      <c r="E250" s="1" t="n">
        <v>46276</v>
      </c>
      <c r="F250" t="inlineStr">
        <is>
          <t>KRONOBERGS LÄN</t>
        </is>
      </c>
      <c r="G250" t="inlineStr">
        <is>
          <t>ALVESTA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46276</v>
      </c>
      <c r="F251" t="inlineStr">
        <is>
          <t>KRONOBERGS LÄN</t>
        </is>
      </c>
      <c r="G251" t="inlineStr">
        <is>
          <t>ALVESTA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46276</v>
      </c>
      <c r="F252" t="inlineStr">
        <is>
          <t>KRONOBERGS LÄN</t>
        </is>
      </c>
      <c r="G252" t="inlineStr">
        <is>
          <t>ALVESTA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46276</v>
      </c>
      <c r="F253" t="inlineStr">
        <is>
          <t>KRONOBERGS LÄN</t>
        </is>
      </c>
      <c r="G253" t="inlineStr">
        <is>
          <t>ALVESTA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45173</v>
      </c>
      <c r="E254" s="1" t="n">
        <v>46276</v>
      </c>
      <c r="F254" t="inlineStr">
        <is>
          <t>KRONOBERGS LÄN</t>
        </is>
      </c>
      <c r="G254" t="inlineStr">
        <is>
          <t>ALVESTA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46052</v>
      </c>
      <c r="E255" s="1" t="n">
        <v>46276</v>
      </c>
      <c r="F255" t="inlineStr">
        <is>
          <t>KRONOBERGS LÄN</t>
        </is>
      </c>
      <c r="G255" t="inlineStr">
        <is>
          <t>ALVESTA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46276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46276</v>
      </c>
      <c r="F257" t="inlineStr">
        <is>
          <t>KRONOBERGS LÄN</t>
        </is>
      </c>
      <c r="G257" t="inlineStr">
        <is>
          <t>ALVESTA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46276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46276</v>
      </c>
      <c r="F259" t="inlineStr">
        <is>
          <t>KRONOBERGS LÄN</t>
        </is>
      </c>
      <c r="G259" t="inlineStr">
        <is>
          <t>ALVESTA</t>
        </is>
      </c>
      <c r="H259" t="inlineStr">
        <is>
          <t>Kommuner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46276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46276</v>
      </c>
      <c r="F261" t="inlineStr">
        <is>
          <t>KRONOBERGS LÄN</t>
        </is>
      </c>
      <c r="G261" t="inlineStr">
        <is>
          <t>ALVESTA</t>
        </is>
      </c>
      <c r="H261" t="inlineStr">
        <is>
          <t>Kommuner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34261-2023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46276</v>
      </c>
      <c r="F262" t="inlineStr">
        <is>
          <t>KRONOBERGS LÄN</t>
        </is>
      </c>
      <c r="G262" t="inlineStr">
        <is>
          <t>ALVESTA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45447</v>
      </c>
      <c r="E263" s="1" t="n">
        <v>46276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46276</v>
      </c>
      <c r="F264" t="inlineStr">
        <is>
          <t>KRONOBERGS LÄN</t>
        </is>
      </c>
      <c r="G264" t="inlineStr">
        <is>
          <t>ALVESTA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46276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46276</v>
      </c>
      <c r="F266" t="inlineStr">
        <is>
          <t>KRONOBERGS LÄN</t>
        </is>
      </c>
      <c r="G266" t="inlineStr">
        <is>
          <t>ALVESTA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46276</v>
      </c>
      <c r="F267" t="inlineStr">
        <is>
          <t>KRONOBERGS LÄN</t>
        </is>
      </c>
      <c r="G267" t="inlineStr">
        <is>
          <t>ALVESTA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24169-2023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45079</v>
      </c>
      <c r="E268" s="1" t="n">
        <v>46276</v>
      </c>
      <c r="F268" t="inlineStr">
        <is>
          <t>KRONOBERGS LÄN</t>
        </is>
      </c>
      <c r="G268" t="inlineStr">
        <is>
          <t>ALVESTA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67331-2021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44523</v>
      </c>
      <c r="E269" s="1" t="n">
        <v>46276</v>
      </c>
      <c r="F269" t="inlineStr">
        <is>
          <t>KRONOBERGS LÄN</t>
        </is>
      </c>
      <c r="G269" t="inlineStr">
        <is>
          <t>ALVESTA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46276</v>
      </c>
      <c r="F270" t="inlineStr">
        <is>
          <t>KRONOBERGS LÄN</t>
        </is>
      </c>
      <c r="G270" t="inlineStr">
        <is>
          <t>ALVESTA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45678</v>
      </c>
      <c r="E271" s="1" t="n">
        <v>46276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46276</v>
      </c>
      <c r="F272" t="inlineStr">
        <is>
          <t>KRONOBERGS LÄN</t>
        </is>
      </c>
      <c r="G272" t="inlineStr">
        <is>
          <t>ALVESTA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50733-2023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45217</v>
      </c>
      <c r="E273" s="1" t="n">
        <v>46276</v>
      </c>
      <c r="F273" t="inlineStr">
        <is>
          <t>KRONOBERGS LÄN</t>
        </is>
      </c>
      <c r="G273" t="inlineStr">
        <is>
          <t>ALVESTA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45336</v>
      </c>
      <c r="E274" s="1" t="n">
        <v>46276</v>
      </c>
      <c r="F274" t="inlineStr">
        <is>
          <t>KRONOBERGS LÄN</t>
        </is>
      </c>
      <c r="G274" t="inlineStr">
        <is>
          <t>ALVESTA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46276</v>
      </c>
      <c r="F275" t="inlineStr">
        <is>
          <t>KRONOBERGS LÄN</t>
        </is>
      </c>
      <c r="G275" t="inlineStr">
        <is>
          <t>ALVESTA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46276</v>
      </c>
      <c r="F276" t="inlineStr">
        <is>
          <t>KRONOBERGS LÄN</t>
        </is>
      </c>
      <c r="G276" t="inlineStr">
        <is>
          <t>ALVESTA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46276</v>
      </c>
      <c r="F277" t="inlineStr">
        <is>
          <t>KRONOBERGS LÄN</t>
        </is>
      </c>
      <c r="G277" t="inlineStr">
        <is>
          <t>ALVESTA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46276</v>
      </c>
      <c r="F278" t="inlineStr">
        <is>
          <t>KRONOBERGS LÄN</t>
        </is>
      </c>
      <c r="G278" t="inlineStr">
        <is>
          <t>ALVESTA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33059-2024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45517</v>
      </c>
      <c r="E279" s="1" t="n">
        <v>46276</v>
      </c>
      <c r="F279" t="inlineStr">
        <is>
          <t>KRONOBERGS LÄN</t>
        </is>
      </c>
      <c r="G279" t="inlineStr">
        <is>
          <t>ALVESTA</t>
        </is>
      </c>
      <c r="H279" t="inlineStr">
        <is>
          <t>Kyrkan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31272-2023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45114</v>
      </c>
      <c r="E280" s="1" t="n">
        <v>46276</v>
      </c>
      <c r="F280" t="inlineStr">
        <is>
          <t>KRONOBERGS LÄN</t>
        </is>
      </c>
      <c r="G280" t="inlineStr">
        <is>
          <t>ALVESTA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60478-2023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45259</v>
      </c>
      <c r="E281" s="1" t="n">
        <v>46276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43959-2022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44838</v>
      </c>
      <c r="E282" s="1" t="n">
        <v>46276</v>
      </c>
      <c r="F282" t="inlineStr">
        <is>
          <t>KRONOBERGS LÄN</t>
        </is>
      </c>
      <c r="G282" t="inlineStr">
        <is>
          <t>ALVESTA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45673</v>
      </c>
      <c r="E283" s="1" t="n">
        <v>46276</v>
      </c>
      <c r="F283" t="inlineStr">
        <is>
          <t>KRONOBERGS LÄN</t>
        </is>
      </c>
      <c r="G283" t="inlineStr">
        <is>
          <t>ALVESTA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45596</v>
      </c>
      <c r="E284" s="1" t="n">
        <v>46276</v>
      </c>
      <c r="F284" t="inlineStr">
        <is>
          <t>KRONOBERGS LÄN</t>
        </is>
      </c>
      <c r="G284" t="inlineStr">
        <is>
          <t>ALVESTA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46276</v>
      </c>
      <c r="F285" t="inlineStr">
        <is>
          <t>KRONOBERGS LÄN</t>
        </is>
      </c>
      <c r="G285" t="inlineStr">
        <is>
          <t>ALVESTA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46276</v>
      </c>
      <c r="F286" t="inlineStr">
        <is>
          <t>KRONOBERGS LÄN</t>
        </is>
      </c>
      <c r="G286" t="inlineStr">
        <is>
          <t>ALVESTA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25179-2024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45462</v>
      </c>
      <c r="E287" s="1" t="n">
        <v>46276</v>
      </c>
      <c r="F287" t="inlineStr">
        <is>
          <t>KRONOBERGS LÄN</t>
        </is>
      </c>
      <c r="G287" t="inlineStr">
        <is>
          <t>ALVESTA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46276</v>
      </c>
      <c r="F288" t="inlineStr">
        <is>
          <t>KRONOBERGS LÄN</t>
        </is>
      </c>
      <c r="G288" t="inlineStr">
        <is>
          <t>ALVESTA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45095</v>
      </c>
      <c r="E289" s="1" t="n">
        <v>46276</v>
      </c>
      <c r="F289" t="inlineStr">
        <is>
          <t>KRONOBERGS LÄN</t>
        </is>
      </c>
      <c r="G289" t="inlineStr">
        <is>
          <t>ALVESTA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45264</v>
      </c>
      <c r="E290" s="1" t="n">
        <v>46276</v>
      </c>
      <c r="F290" t="inlineStr">
        <is>
          <t>KRONOBERGS LÄN</t>
        </is>
      </c>
      <c r="G290" t="inlineStr">
        <is>
          <t>ALVESTA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11331-2026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46081</v>
      </c>
      <c r="E291" s="1" t="n">
        <v>46276</v>
      </c>
      <c r="F291" t="inlineStr">
        <is>
          <t>KRONOBERGS LÄN</t>
        </is>
      </c>
      <c r="G291" t="inlineStr">
        <is>
          <t>ALVESTA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42364-2024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45563</v>
      </c>
      <c r="E292" s="1" t="n">
        <v>46276</v>
      </c>
      <c r="F292" t="inlineStr">
        <is>
          <t>KRONOBERGS LÄN</t>
        </is>
      </c>
      <c r="G292" t="inlineStr">
        <is>
          <t>ALVESTA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46276</v>
      </c>
      <c r="F293" t="inlineStr">
        <is>
          <t>KRONOBERGS LÄN</t>
        </is>
      </c>
      <c r="G293" t="inlineStr">
        <is>
          <t>ALVESTA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46276</v>
      </c>
      <c r="F294" t="inlineStr">
        <is>
          <t>KRONOBERGS LÄN</t>
        </is>
      </c>
      <c r="G294" t="inlineStr">
        <is>
          <t>ALVESTA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45106</v>
      </c>
      <c r="E295" s="1" t="n">
        <v>46276</v>
      </c>
      <c r="F295" t="inlineStr">
        <is>
          <t>KRONOBERGS LÄN</t>
        </is>
      </c>
      <c r="G295" t="inlineStr">
        <is>
          <t>ALVESTA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46276</v>
      </c>
      <c r="F296" t="inlineStr">
        <is>
          <t>KRONOBERGS LÄN</t>
        </is>
      </c>
      <c r="G296" t="inlineStr">
        <is>
          <t>ALVESTA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45436</v>
      </c>
      <c r="E297" s="1" t="n">
        <v>46276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46276</v>
      </c>
      <c r="F298" t="inlineStr">
        <is>
          <t>KRONOBERGS LÄN</t>
        </is>
      </c>
      <c r="G298" t="inlineStr">
        <is>
          <t>ALVESTA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13648-2024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45390</v>
      </c>
      <c r="E299" s="1" t="n">
        <v>46276</v>
      </c>
      <c r="F299" t="inlineStr">
        <is>
          <t>KRONOBERGS LÄN</t>
        </is>
      </c>
      <c r="G299" t="inlineStr">
        <is>
          <t>ALVESTA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44480</v>
      </c>
      <c r="E300" s="1" t="n">
        <v>46276</v>
      </c>
      <c r="F300" t="inlineStr">
        <is>
          <t>KRONOBERGS LÄN</t>
        </is>
      </c>
      <c r="G300" t="inlineStr">
        <is>
          <t>ALVESTA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12258-2026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46087</v>
      </c>
      <c r="E301" s="1" t="n">
        <v>46276</v>
      </c>
      <c r="F301" t="inlineStr">
        <is>
          <t>KRONOBERGS LÄN</t>
        </is>
      </c>
      <c r="G301" t="inlineStr">
        <is>
          <t>ALVESTA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45086</v>
      </c>
      <c r="E302" s="1" t="n">
        <v>46276</v>
      </c>
      <c r="F302" t="inlineStr">
        <is>
          <t>KRONOBERGS LÄN</t>
        </is>
      </c>
      <c r="G302" t="inlineStr">
        <is>
          <t>ALVESTA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46276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46276</v>
      </c>
      <c r="F304" t="inlineStr">
        <is>
          <t>KRONOBERGS LÄN</t>
        </is>
      </c>
      <c r="G304" t="inlineStr">
        <is>
          <t>ALVESTA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46276</v>
      </c>
      <c r="F305" t="inlineStr">
        <is>
          <t>KRONOBERGS LÄN</t>
        </is>
      </c>
      <c r="G305" t="inlineStr">
        <is>
          <t>ALVESTA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46276</v>
      </c>
      <c r="F306" t="inlineStr">
        <is>
          <t>KRONOBERGS LÄN</t>
        </is>
      </c>
      <c r="G306" t="inlineStr">
        <is>
          <t>ALVESTA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46276</v>
      </c>
      <c r="F307" t="inlineStr">
        <is>
          <t>KRONOBERGS LÄN</t>
        </is>
      </c>
      <c r="G307" t="inlineStr">
        <is>
          <t>ALVESTA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44670</v>
      </c>
      <c r="E308" s="1" t="n">
        <v>46276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46276</v>
      </c>
      <c r="F309" t="inlineStr">
        <is>
          <t>KRONOBERGS LÄN</t>
        </is>
      </c>
      <c r="G309" t="inlineStr">
        <is>
          <t>ALVESTA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46276</v>
      </c>
      <c r="F310" t="inlineStr">
        <is>
          <t>KRONOBERGS LÄN</t>
        </is>
      </c>
      <c r="G310" t="inlineStr">
        <is>
          <t>ALVESTA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45635</v>
      </c>
      <c r="E311" s="1" t="n">
        <v>46276</v>
      </c>
      <c r="F311" t="inlineStr">
        <is>
          <t>KRONOBERGS LÄN</t>
        </is>
      </c>
      <c r="G311" t="inlineStr">
        <is>
          <t>ALVESTA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9822-2022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44620</v>
      </c>
      <c r="E312" s="1" t="n">
        <v>46276</v>
      </c>
      <c r="F312" t="inlineStr">
        <is>
          <t>KRONOBERGS LÄN</t>
        </is>
      </c>
      <c r="G312" t="inlineStr">
        <is>
          <t>ALVESTA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46276</v>
      </c>
      <c r="F313" t="inlineStr">
        <is>
          <t>KRONOBERGS LÄN</t>
        </is>
      </c>
      <c r="G313" t="inlineStr">
        <is>
          <t>ALVESTA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46276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46276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36817-2024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45538</v>
      </c>
      <c r="E316" s="1" t="n">
        <v>46276</v>
      </c>
      <c r="F316" t="inlineStr">
        <is>
          <t>KRONOBERGS LÄN</t>
        </is>
      </c>
      <c r="G316" t="inlineStr">
        <is>
          <t>ALVESTA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45342</v>
      </c>
      <c r="E317" s="1" t="n">
        <v>46276</v>
      </c>
      <c r="F317" t="inlineStr">
        <is>
          <t>KRONOBERGS LÄN</t>
        </is>
      </c>
      <c r="G317" t="inlineStr">
        <is>
          <t>ALVESTA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46276</v>
      </c>
      <c r="F318" t="inlineStr">
        <is>
          <t>KRONOBERGS LÄN</t>
        </is>
      </c>
      <c r="G318" t="inlineStr">
        <is>
          <t>ALVESTA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46276</v>
      </c>
      <c r="F319" t="inlineStr">
        <is>
          <t>KRONOBERGS LÄN</t>
        </is>
      </c>
      <c r="G319" t="inlineStr">
        <is>
          <t>ALVESTA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46276</v>
      </c>
      <c r="F320" t="inlineStr">
        <is>
          <t>KRONOBERGS LÄN</t>
        </is>
      </c>
      <c r="G320" t="inlineStr">
        <is>
          <t>ALVESTA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46276</v>
      </c>
      <c r="F321" t="inlineStr">
        <is>
          <t>KRONOBERGS LÄN</t>
        </is>
      </c>
      <c r="G321" t="inlineStr">
        <is>
          <t>ALVESTA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46098</v>
      </c>
      <c r="E322" s="1" t="n">
        <v>46276</v>
      </c>
      <c r="F322" t="inlineStr">
        <is>
          <t>KRONOBERGS LÄN</t>
        </is>
      </c>
      <c r="G322" t="inlineStr">
        <is>
          <t>ALVESTA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46276</v>
      </c>
      <c r="F323" t="inlineStr">
        <is>
          <t>KRONOBERGS LÄN</t>
        </is>
      </c>
      <c r="G323" t="inlineStr">
        <is>
          <t>ALVESTA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46276</v>
      </c>
      <c r="F324" t="inlineStr">
        <is>
          <t>KRONOBERGS LÄN</t>
        </is>
      </c>
      <c r="G324" t="inlineStr">
        <is>
          <t>ALVESTA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13810-2026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46276</v>
      </c>
      <c r="F325" t="inlineStr">
        <is>
          <t>KRONOBERGS LÄN</t>
        </is>
      </c>
      <c r="G325" t="inlineStr">
        <is>
          <t>ALVESTA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46276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45105</v>
      </c>
      <c r="E327" s="1" t="n">
        <v>46276</v>
      </c>
      <c r="F327" t="inlineStr">
        <is>
          <t>KRONOBERGS LÄN</t>
        </is>
      </c>
      <c r="G327" t="inlineStr">
        <is>
          <t>ALVESTA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46276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46276</v>
      </c>
      <c r="F329" t="inlineStr">
        <is>
          <t>KRONOBERGS LÄN</t>
        </is>
      </c>
      <c r="G329" t="inlineStr">
        <is>
          <t>ALVESTA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46276</v>
      </c>
      <c r="F330" t="inlineStr">
        <is>
          <t>KRONOBERGS LÄN</t>
        </is>
      </c>
      <c r="G330" t="inlineStr">
        <is>
          <t>ALVESTA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46276</v>
      </c>
      <c r="F331" t="inlineStr">
        <is>
          <t>KRONOBERGS LÄN</t>
        </is>
      </c>
      <c r="G331" t="inlineStr">
        <is>
          <t>ALVESTA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45267</v>
      </c>
      <c r="E332" s="1" t="n">
        <v>46276</v>
      </c>
      <c r="F332" t="inlineStr">
        <is>
          <t>KRONOBERGS LÄN</t>
        </is>
      </c>
      <c r="G332" t="inlineStr">
        <is>
          <t>ALVESTA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46276</v>
      </c>
      <c r="F333" t="inlineStr">
        <is>
          <t>KRONOBERGS LÄN</t>
        </is>
      </c>
      <c r="G333" t="inlineStr">
        <is>
          <t>ALVESTA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46276</v>
      </c>
      <c r="F334" t="inlineStr">
        <is>
          <t>KRONOBERGS LÄN</t>
        </is>
      </c>
      <c r="G334" t="inlineStr">
        <is>
          <t>ALVESTA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38875-2022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44816</v>
      </c>
      <c r="E335" s="1" t="n">
        <v>46276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46276</v>
      </c>
      <c r="F336" t="inlineStr">
        <is>
          <t>KRONOBERGS LÄN</t>
        </is>
      </c>
      <c r="G336" t="inlineStr">
        <is>
          <t>ALVESTA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46276</v>
      </c>
      <c r="F337" t="inlineStr">
        <is>
          <t>KRONOBERGS LÄN</t>
        </is>
      </c>
      <c r="G337" t="inlineStr">
        <is>
          <t>ALVESTA</t>
        </is>
      </c>
      <c r="H337" t="inlineStr">
        <is>
          <t>Kyrkan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46276</v>
      </c>
      <c r="F338" t="inlineStr">
        <is>
          <t>KRONOBERGS LÄN</t>
        </is>
      </c>
      <c r="G338" t="inlineStr">
        <is>
          <t>ALVESTA</t>
        </is>
      </c>
      <c r="H338" t="inlineStr">
        <is>
          <t>Övriga Aktiebolag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60700-2025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45996</v>
      </c>
      <c r="E339" s="1" t="n">
        <v>46276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46276</v>
      </c>
      <c r="F340" t="inlineStr">
        <is>
          <t>KRONOBERGS LÄN</t>
        </is>
      </c>
      <c r="G340" t="inlineStr">
        <is>
          <t>ALVESTA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46276</v>
      </c>
      <c r="F341" t="inlineStr">
        <is>
          <t>KRONOBERGS LÄN</t>
        </is>
      </c>
      <c r="G341" t="inlineStr">
        <is>
          <t>ALVESTA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46276</v>
      </c>
      <c r="F342" t="inlineStr">
        <is>
          <t>KRONOBERGS LÄN</t>
        </is>
      </c>
      <c r="G342" t="inlineStr">
        <is>
          <t>ALVESTA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45336</v>
      </c>
      <c r="E343" s="1" t="n">
        <v>46276</v>
      </c>
      <c r="F343" t="inlineStr">
        <is>
          <t>KRONOBERGS LÄN</t>
        </is>
      </c>
      <c r="G343" t="inlineStr">
        <is>
          <t>ALVESTA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46276</v>
      </c>
      <c r="F344" t="inlineStr">
        <is>
          <t>KRONOBERGS LÄN</t>
        </is>
      </c>
      <c r="G344" t="inlineStr">
        <is>
          <t>ALVESTA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45482</v>
      </c>
      <c r="E345" s="1" t="n">
        <v>46276</v>
      </c>
      <c r="F345" t="inlineStr">
        <is>
          <t>KRONOBERGS LÄN</t>
        </is>
      </c>
      <c r="G345" t="inlineStr">
        <is>
          <t>ALVESTA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45349</v>
      </c>
      <c r="E346" s="1" t="n">
        <v>46276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46276</v>
      </c>
      <c r="F347" t="inlineStr">
        <is>
          <t>KRONOBERGS LÄN</t>
        </is>
      </c>
      <c r="G347" t="inlineStr">
        <is>
          <t>ALVESTA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46276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46276</v>
      </c>
      <c r="F349" t="inlineStr">
        <is>
          <t>KRONOBERGS LÄN</t>
        </is>
      </c>
      <c r="G349" t="inlineStr">
        <is>
          <t>ALVESTA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32334-2024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46276</v>
      </c>
      <c r="F350" t="inlineStr">
        <is>
          <t>KRONOBERGS LÄN</t>
        </is>
      </c>
      <c r="G350" t="inlineStr">
        <is>
          <t>ALVESTA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46276</v>
      </c>
      <c r="F351" t="inlineStr">
        <is>
          <t>KRONOBERGS LÄN</t>
        </is>
      </c>
      <c r="G351" t="inlineStr">
        <is>
          <t>ALVESTA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8803-2024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45356</v>
      </c>
      <c r="E352" s="1" t="n">
        <v>46276</v>
      </c>
      <c r="F352" t="inlineStr">
        <is>
          <t>KRONOBERGS LÄN</t>
        </is>
      </c>
      <c r="G352" t="inlineStr">
        <is>
          <t>ALVESTA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45426</v>
      </c>
      <c r="E353" s="1" t="n">
        <v>46276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44881</v>
      </c>
      <c r="E354" s="1" t="n">
        <v>46276</v>
      </c>
      <c r="F354" t="inlineStr">
        <is>
          <t>KRONOBERGS LÄN</t>
        </is>
      </c>
      <c r="G354" t="inlineStr">
        <is>
          <t>ALVESTA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51274-2025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45949</v>
      </c>
      <c r="E355" s="1" t="n">
        <v>46276</v>
      </c>
      <c r="F355" t="inlineStr">
        <is>
          <t>KRONOBERGS LÄN</t>
        </is>
      </c>
      <c r="G355" t="inlineStr">
        <is>
          <t>ALVESTA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45341</v>
      </c>
      <c r="E356" s="1" t="n">
        <v>46276</v>
      </c>
      <c r="F356" t="inlineStr">
        <is>
          <t>KRONOBERGS LÄN</t>
        </is>
      </c>
      <c r="G356" t="inlineStr">
        <is>
          <t>ALVESTA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45359</v>
      </c>
      <c r="E357" s="1" t="n">
        <v>46276</v>
      </c>
      <c r="F357" t="inlineStr">
        <is>
          <t>KRONOBERGS LÄN</t>
        </is>
      </c>
      <c r="G357" t="inlineStr">
        <is>
          <t>ALVESTA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45608</v>
      </c>
      <c r="E358" s="1" t="n">
        <v>46276</v>
      </c>
      <c r="F358" t="inlineStr">
        <is>
          <t>KRONOBERGS LÄN</t>
        </is>
      </c>
      <c r="G358" t="inlineStr">
        <is>
          <t>ALVESTA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44973</v>
      </c>
      <c r="E359" s="1" t="n">
        <v>46276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46276</v>
      </c>
      <c r="F360" t="inlineStr">
        <is>
          <t>KRONOBERGS LÄN</t>
        </is>
      </c>
      <c r="G360" t="inlineStr">
        <is>
          <t>ALVESTA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45407</v>
      </c>
      <c r="E361" s="1" t="n">
        <v>46276</v>
      </c>
      <c r="F361" t="inlineStr">
        <is>
          <t>KRONOBERGS LÄN</t>
        </is>
      </c>
      <c r="G361" t="inlineStr">
        <is>
          <t>ALVESTA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8842-2023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44978</v>
      </c>
      <c r="E362" s="1" t="n">
        <v>46276</v>
      </c>
      <c r="F362" t="inlineStr">
        <is>
          <t>KRONOBERGS LÄN</t>
        </is>
      </c>
      <c r="G362" t="inlineStr">
        <is>
          <t>ALVESTA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46120</v>
      </c>
      <c r="E363" s="1" t="n">
        <v>46276</v>
      </c>
      <c r="F363" t="inlineStr">
        <is>
          <t>KRONOBERGS LÄN</t>
        </is>
      </c>
      <c r="G363" t="inlineStr">
        <is>
          <t>ALVESTA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45418</v>
      </c>
      <c r="E364" s="1" t="n">
        <v>46276</v>
      </c>
      <c r="F364" t="inlineStr">
        <is>
          <t>KRONOBERGS LÄN</t>
        </is>
      </c>
      <c r="G364" t="inlineStr">
        <is>
          <t>ALVESTA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46276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17946-2026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46122</v>
      </c>
      <c r="E366" s="1" t="n">
        <v>46276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17823-2026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46122</v>
      </c>
      <c r="E367" s="1" t="n">
        <v>46276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46276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17801-2026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46122</v>
      </c>
      <c r="E369" s="1" t="n">
        <v>46276</v>
      </c>
      <c r="F369" t="inlineStr">
        <is>
          <t>KRONOBERGS LÄN</t>
        </is>
      </c>
      <c r="G369" t="inlineStr">
        <is>
          <t>ALVESTA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46276</v>
      </c>
      <c r="F370" t="inlineStr">
        <is>
          <t>KRONOBERGS LÄN</t>
        </is>
      </c>
      <c r="G370" t="inlineStr">
        <is>
          <t>ALVESTA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45296</v>
      </c>
      <c r="E371" s="1" t="n">
        <v>46276</v>
      </c>
      <c r="F371" t="inlineStr">
        <is>
          <t>KRONOBERGS LÄN</t>
        </is>
      </c>
      <c r="G371" t="inlineStr">
        <is>
          <t>ALVESTA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9417-2024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45359</v>
      </c>
      <c r="E372" s="1" t="n">
        <v>46276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44998</v>
      </c>
      <c r="E373" s="1" t="n">
        <v>46276</v>
      </c>
      <c r="F373" t="inlineStr">
        <is>
          <t>KRONOBERGS LÄN</t>
        </is>
      </c>
      <c r="G373" t="inlineStr">
        <is>
          <t>ALVESTA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45436</v>
      </c>
      <c r="E374" s="1" t="n">
        <v>46276</v>
      </c>
      <c r="F374" t="inlineStr">
        <is>
          <t>KRONOBERGS LÄN</t>
        </is>
      </c>
      <c r="G374" t="inlineStr">
        <is>
          <t>ALVESTA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46276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45418</v>
      </c>
      <c r="E376" s="1" t="n">
        <v>46276</v>
      </c>
      <c r="F376" t="inlineStr">
        <is>
          <t>KRONOBERGS LÄN</t>
        </is>
      </c>
      <c r="G376" t="inlineStr">
        <is>
          <t>ALVESTA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46276</v>
      </c>
      <c r="F377" t="inlineStr">
        <is>
          <t>KRONOBERGS LÄN</t>
        </is>
      </c>
      <c r="G377" t="inlineStr">
        <is>
          <t>ALVESTA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44938</v>
      </c>
      <c r="E378" s="1" t="n">
        <v>46276</v>
      </c>
      <c r="F378" t="inlineStr">
        <is>
          <t>KRONOBERGS LÄN</t>
        </is>
      </c>
      <c r="G378" t="inlineStr">
        <is>
          <t>ALVESTA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46276</v>
      </c>
      <c r="F379" t="inlineStr">
        <is>
          <t>KRONOBERGS LÄN</t>
        </is>
      </c>
      <c r="G379" t="inlineStr">
        <is>
          <t>ALVESTA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18856-2026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46129</v>
      </c>
      <c r="E380" s="1" t="n">
        <v>46276</v>
      </c>
      <c r="F380" t="inlineStr">
        <is>
          <t>KRONOBERGS LÄN</t>
        </is>
      </c>
      <c r="G380" t="inlineStr">
        <is>
          <t>ALVESTA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46129</v>
      </c>
      <c r="E381" s="1" t="n">
        <v>46276</v>
      </c>
      <c r="F381" t="inlineStr">
        <is>
          <t>KRONOBERGS LÄN</t>
        </is>
      </c>
      <c r="G381" t="inlineStr">
        <is>
          <t>ALVESTA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46276</v>
      </c>
      <c r="F382" t="inlineStr">
        <is>
          <t>KRONOBERGS LÄN</t>
        </is>
      </c>
      <c r="G382" t="inlineStr">
        <is>
          <t>ALVESTA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46276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65092-2023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45288</v>
      </c>
      <c r="E384" s="1" t="n">
        <v>46276</v>
      </c>
      <c r="F384" t="inlineStr">
        <is>
          <t>KRONOBERGS LÄN</t>
        </is>
      </c>
      <c r="G384" t="inlineStr">
        <is>
          <t>ALVESTA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46276</v>
      </c>
      <c r="F385" t="inlineStr">
        <is>
          <t>KRONOBERGS LÄN</t>
        </is>
      </c>
      <c r="G385" t="inlineStr">
        <is>
          <t>ALVESTA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46276</v>
      </c>
      <c r="F386" t="inlineStr">
        <is>
          <t>KRONOBERGS LÄN</t>
        </is>
      </c>
      <c r="G386" t="inlineStr">
        <is>
          <t>ALVESTA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9391-2024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45359</v>
      </c>
      <c r="E387" s="1" t="n">
        <v>46276</v>
      </c>
      <c r="F387" t="inlineStr">
        <is>
          <t>KRONOBERGS LÄN</t>
        </is>
      </c>
      <c r="G387" t="inlineStr">
        <is>
          <t>ALVESTA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45300</v>
      </c>
      <c r="E388" s="1" t="n">
        <v>46276</v>
      </c>
      <c r="F388" t="inlineStr">
        <is>
          <t>KRONOBERGS LÄN</t>
        </is>
      </c>
      <c r="G388" t="inlineStr">
        <is>
          <t>ALVESTA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32626-2025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46276</v>
      </c>
      <c r="F389" t="inlineStr">
        <is>
          <t>KRONOBERGS LÄN</t>
        </is>
      </c>
      <c r="G389" t="inlineStr">
        <is>
          <t>ALVESTA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46276</v>
      </c>
      <c r="F390" t="inlineStr">
        <is>
          <t>KRONOBERGS LÄN</t>
        </is>
      </c>
      <c r="G390" t="inlineStr">
        <is>
          <t>ALVESTA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46276</v>
      </c>
      <c r="F391" t="inlineStr">
        <is>
          <t>KRONOBERGS LÄN</t>
        </is>
      </c>
      <c r="G391" t="inlineStr">
        <is>
          <t>ALVESTA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46276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28529-2024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45478</v>
      </c>
      <c r="E393" s="1" t="n">
        <v>46276</v>
      </c>
      <c r="F393" t="inlineStr">
        <is>
          <t>KRONOBERGS LÄN</t>
        </is>
      </c>
      <c r="G393" t="inlineStr">
        <is>
          <t>ALVESTA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46276</v>
      </c>
      <c r="F394" t="inlineStr">
        <is>
          <t>KRONOBERGS LÄN</t>
        </is>
      </c>
      <c r="G394" t="inlineStr">
        <is>
          <t>ALVESTA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45362</v>
      </c>
      <c r="E395" s="1" t="n">
        <v>46276</v>
      </c>
      <c r="F395" t="inlineStr">
        <is>
          <t>KRONOBERGS LÄN</t>
        </is>
      </c>
      <c r="G395" t="inlineStr">
        <is>
          <t>ALVESTA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45189</v>
      </c>
      <c r="E396" s="1" t="n">
        <v>46276</v>
      </c>
      <c r="F396" t="inlineStr">
        <is>
          <t>KRONOBERGS LÄN</t>
        </is>
      </c>
      <c r="G396" t="inlineStr">
        <is>
          <t>ALVESTA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46276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20631-2024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45436</v>
      </c>
      <c r="E398" s="1" t="n">
        <v>46276</v>
      </c>
      <c r="F398" t="inlineStr">
        <is>
          <t>KRONOBERGS LÄN</t>
        </is>
      </c>
      <c r="G398" t="inlineStr">
        <is>
          <t>ALVESTA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45834</v>
      </c>
      <c r="E399" s="1" t="n">
        <v>46276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44635</v>
      </c>
      <c r="E400" s="1" t="n">
        <v>46276</v>
      </c>
      <c r="F400" t="inlineStr">
        <is>
          <t>KRONOBERGS LÄN</t>
        </is>
      </c>
      <c r="G400" t="inlineStr">
        <is>
          <t>ALVESTA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45342</v>
      </c>
      <c r="E401" s="1" t="n">
        <v>46276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46276</v>
      </c>
      <c r="F402" t="inlineStr">
        <is>
          <t>KRONOBERGS LÄN</t>
        </is>
      </c>
      <c r="G402" t="inlineStr">
        <is>
          <t>ALVESTA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44951</v>
      </c>
      <c r="E403" s="1" t="n">
        <v>46276</v>
      </c>
      <c r="F403" t="inlineStr">
        <is>
          <t>KRONOBERGS LÄN</t>
        </is>
      </c>
      <c r="G403" t="inlineStr">
        <is>
          <t>ALVESTA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46276</v>
      </c>
      <c r="F404" t="inlineStr">
        <is>
          <t>KRONOBERGS LÄN</t>
        </is>
      </c>
      <c r="G404" t="inlineStr">
        <is>
          <t>ALVESTA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46276</v>
      </c>
      <c r="F405" t="inlineStr">
        <is>
          <t>KRONOBERGS LÄN</t>
        </is>
      </c>
      <c r="G405" t="inlineStr">
        <is>
          <t>ALVESTA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45136</v>
      </c>
      <c r="E406" s="1" t="n">
        <v>46276</v>
      </c>
      <c r="F406" t="inlineStr">
        <is>
          <t>KRONOBERGS LÄN</t>
        </is>
      </c>
      <c r="G406" t="inlineStr">
        <is>
          <t>ALVESTA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46276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45320</v>
      </c>
      <c r="E408" s="1" t="n">
        <v>46276</v>
      </c>
      <c r="F408" t="inlineStr">
        <is>
          <t>KRONOBERGS LÄN</t>
        </is>
      </c>
      <c r="G408" t="inlineStr">
        <is>
          <t>ALVESTA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46276</v>
      </c>
      <c r="F409" t="inlineStr">
        <is>
          <t>KRONOBERGS LÄN</t>
        </is>
      </c>
      <c r="G409" t="inlineStr">
        <is>
          <t>ALVESTA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14969-2022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44657</v>
      </c>
      <c r="E410" s="1" t="n">
        <v>46276</v>
      </c>
      <c r="F410" t="inlineStr">
        <is>
          <t>KRONOBERGS LÄN</t>
        </is>
      </c>
      <c r="G410" t="inlineStr">
        <is>
          <t>ALVESTA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60760-2022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44914</v>
      </c>
      <c r="E411" s="1" t="n">
        <v>46276</v>
      </c>
      <c r="F411" t="inlineStr">
        <is>
          <t>KRONOBERGS LÄN</t>
        </is>
      </c>
      <c r="G411" t="inlineStr">
        <is>
          <t>ALVESTA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45128</v>
      </c>
      <c r="E412" s="1" t="n">
        <v>46276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46276</v>
      </c>
      <c r="F413" t="inlineStr">
        <is>
          <t>KRONOBERGS LÄN</t>
        </is>
      </c>
      <c r="G413" t="inlineStr">
        <is>
          <t>ALVESTA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46276</v>
      </c>
      <c r="F414" t="inlineStr">
        <is>
          <t>KRONOBERGS LÄN</t>
        </is>
      </c>
      <c r="G414" t="inlineStr">
        <is>
          <t>ALVESTA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46276</v>
      </c>
      <c r="F415" t="inlineStr">
        <is>
          <t>KRONOBERGS LÄN</t>
        </is>
      </c>
      <c r="G415" t="inlineStr">
        <is>
          <t>ALVESTA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46276</v>
      </c>
      <c r="F416" t="inlineStr">
        <is>
          <t>KRONOBERGS LÄN</t>
        </is>
      </c>
      <c r="G416" t="inlineStr">
        <is>
          <t>ALVESTA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45692</v>
      </c>
      <c r="E417" s="1" t="n">
        <v>46276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45818</v>
      </c>
      <c r="E418" s="1" t="n">
        <v>46276</v>
      </c>
      <c r="F418" t="inlineStr">
        <is>
          <t>KRONOBERGS LÄN</t>
        </is>
      </c>
      <c r="G418" t="inlineStr">
        <is>
          <t>ALVESTA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45884</v>
      </c>
      <c r="E419" s="1" t="n">
        <v>46276</v>
      </c>
      <c r="F419" t="inlineStr">
        <is>
          <t>KRONOBERGS LÄN</t>
        </is>
      </c>
      <c r="G419" t="inlineStr">
        <is>
          <t>ALVESTA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46276</v>
      </c>
      <c r="F420" t="inlineStr">
        <is>
          <t>KRONOBERGS LÄN</t>
        </is>
      </c>
      <c r="G420" t="inlineStr">
        <is>
          <t>ALVESTA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45666</v>
      </c>
      <c r="E421" s="1" t="n">
        <v>46276</v>
      </c>
      <c r="F421" t="inlineStr">
        <is>
          <t>KRONOBERGS LÄN</t>
        </is>
      </c>
      <c r="G421" t="inlineStr">
        <is>
          <t>ALVESTA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45856</v>
      </c>
      <c r="E422" s="1" t="n">
        <v>46276</v>
      </c>
      <c r="F422" t="inlineStr">
        <is>
          <t>KRONOBERGS LÄN</t>
        </is>
      </c>
      <c r="G422" t="inlineStr">
        <is>
          <t>ALVESTA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35601-2025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45858</v>
      </c>
      <c r="E423" s="1" t="n">
        <v>46276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20101-2026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46276</v>
      </c>
      <c r="F424" t="inlineStr">
        <is>
          <t>KRONOBERGS LÄN</t>
        </is>
      </c>
      <c r="G424" t="inlineStr">
        <is>
          <t>ALVESTA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58648-2024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45635</v>
      </c>
      <c r="E425" s="1" t="n">
        <v>46276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6367-2024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45338</v>
      </c>
      <c r="E426" s="1" t="n">
        <v>46276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45699</v>
      </c>
      <c r="E427" s="1" t="n">
        <v>46276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50689-2023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45210</v>
      </c>
      <c r="E428" s="1" t="n">
        <v>46276</v>
      </c>
      <c r="F428" t="inlineStr">
        <is>
          <t>KRONOBERGS LÄN</t>
        </is>
      </c>
      <c r="G428" t="inlineStr">
        <is>
          <t>ALVESTA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46276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45840</v>
      </c>
      <c r="E430" s="1" t="n">
        <v>46276</v>
      </c>
      <c r="F430" t="inlineStr">
        <is>
          <t>KRONOBERGS LÄN</t>
        </is>
      </c>
      <c r="G430" t="inlineStr">
        <is>
          <t>ALVESTA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10577-2024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45366</v>
      </c>
      <c r="E431" s="1" t="n">
        <v>46276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45324</v>
      </c>
      <c r="E432" s="1" t="n">
        <v>46276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46276</v>
      </c>
      <c r="F433" t="inlineStr">
        <is>
          <t>KRONOBERGS LÄN</t>
        </is>
      </c>
      <c r="G433" t="inlineStr">
        <is>
          <t>ALVESTA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45771</v>
      </c>
      <c r="E434" s="1" t="n">
        <v>46276</v>
      </c>
      <c r="F434" t="inlineStr">
        <is>
          <t>KRONOBERGS LÄN</t>
        </is>
      </c>
      <c r="G434" t="inlineStr">
        <is>
          <t>ALVESTA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46276</v>
      </c>
      <c r="F435" t="inlineStr">
        <is>
          <t>KRONOBERGS LÄN</t>
        </is>
      </c>
      <c r="G435" t="inlineStr">
        <is>
          <t>ALVESTA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52172-2022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44873</v>
      </c>
      <c r="E436" s="1" t="n">
        <v>46276</v>
      </c>
      <c r="F436" t="inlineStr">
        <is>
          <t>KRONOBERGS LÄN</t>
        </is>
      </c>
      <c r="G436" t="inlineStr">
        <is>
          <t>ALVESTA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45608</v>
      </c>
      <c r="E437" s="1" t="n">
        <v>46276</v>
      </c>
      <c r="F437" t="inlineStr">
        <is>
          <t>KRONOBERGS LÄN</t>
        </is>
      </c>
      <c r="G437" t="inlineStr">
        <is>
          <t>ALVESTA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46276</v>
      </c>
      <c r="F438" t="inlineStr">
        <is>
          <t>KRONOBERGS LÄN</t>
        </is>
      </c>
      <c r="G438" t="inlineStr">
        <is>
          <t>ALVESTA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45135</v>
      </c>
      <c r="E439" s="1" t="n">
        <v>46276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25945-2023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45090</v>
      </c>
      <c r="E440" s="1" t="n">
        <v>46276</v>
      </c>
      <c r="F440" t="inlineStr">
        <is>
          <t>KRONOBERGS LÄN</t>
        </is>
      </c>
      <c r="G440" t="inlineStr">
        <is>
          <t>ALVESTA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54966-2023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45236</v>
      </c>
      <c r="E441" s="1" t="n">
        <v>46276</v>
      </c>
      <c r="F441" t="inlineStr">
        <is>
          <t>KRONOBERGS LÄN</t>
        </is>
      </c>
      <c r="G441" t="inlineStr">
        <is>
          <t>ALVESTA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45728</v>
      </c>
      <c r="E442" s="1" t="n">
        <v>46276</v>
      </c>
      <c r="F442" t="inlineStr">
        <is>
          <t>KRONOBERGS LÄN</t>
        </is>
      </c>
      <c r="G442" t="inlineStr">
        <is>
          <t>ALVESTA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44805</v>
      </c>
      <c r="E443" s="1" t="n">
        <v>46276</v>
      </c>
      <c r="F443" t="inlineStr">
        <is>
          <t>KRONOBERGS LÄN</t>
        </is>
      </c>
      <c r="G443" t="inlineStr">
        <is>
          <t>ALVESTA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46276</v>
      </c>
      <c r="F444" t="inlineStr">
        <is>
          <t>KRONOBERGS LÄN</t>
        </is>
      </c>
      <c r="G444" t="inlineStr">
        <is>
          <t>ALVESTA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46276</v>
      </c>
      <c r="F445" t="inlineStr">
        <is>
          <t>KRONOBERGS LÄN</t>
        </is>
      </c>
      <c r="G445" t="inlineStr">
        <is>
          <t>ALVESTA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46276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46276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46276</v>
      </c>
      <c r="F448" t="inlineStr">
        <is>
          <t>KRONOBERGS LÄN</t>
        </is>
      </c>
      <c r="G448" t="inlineStr">
        <is>
          <t>ALVESTA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44893</v>
      </c>
      <c r="E449" s="1" t="n">
        <v>46276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12818-2025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45733</v>
      </c>
      <c r="E450" s="1" t="n">
        <v>46276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45896</v>
      </c>
      <c r="E451" s="1" t="n">
        <v>46276</v>
      </c>
      <c r="F451" t="inlineStr">
        <is>
          <t>KRONOBERGS LÄN</t>
        </is>
      </c>
      <c r="G451" t="inlineStr">
        <is>
          <t>ALVESTA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46276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35434-2025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45854</v>
      </c>
      <c r="E453" s="1" t="n">
        <v>46276</v>
      </c>
      <c r="F453" t="inlineStr">
        <is>
          <t>KRONOBERGS LÄN</t>
        </is>
      </c>
      <c r="G453" t="inlineStr">
        <is>
          <t>ALVESTA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46276</v>
      </c>
      <c r="F454" t="inlineStr">
        <is>
          <t>KRONOBERGS LÄN</t>
        </is>
      </c>
      <c r="G454" t="inlineStr">
        <is>
          <t>ALVESTA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45476</v>
      </c>
      <c r="E455" s="1" t="n">
        <v>46276</v>
      </c>
      <c r="F455" t="inlineStr">
        <is>
          <t>KRONOBERGS LÄN</t>
        </is>
      </c>
      <c r="G455" t="inlineStr">
        <is>
          <t>ALVESTA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45903</v>
      </c>
      <c r="E456" s="1" t="n">
        <v>46276</v>
      </c>
      <c r="F456" t="inlineStr">
        <is>
          <t>KRONOBERGS LÄN</t>
        </is>
      </c>
      <c r="G456" t="inlineStr">
        <is>
          <t>ALVESTA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45959</v>
      </c>
      <c r="E457" s="1" t="n">
        <v>46276</v>
      </c>
      <c r="F457" t="inlineStr">
        <is>
          <t>KRONOBERGS LÄN</t>
        </is>
      </c>
      <c r="G457" t="inlineStr">
        <is>
          <t>ALVESTA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39263-2023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45166</v>
      </c>
      <c r="E458" s="1" t="n">
        <v>46276</v>
      </c>
      <c r="F458" t="inlineStr">
        <is>
          <t>KRONOBERGS LÄN</t>
        </is>
      </c>
      <c r="G458" t="inlineStr">
        <is>
          <t>ALVESTA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46276</v>
      </c>
      <c r="F459" t="inlineStr">
        <is>
          <t>KRONOBERGS LÄN</t>
        </is>
      </c>
      <c r="G459" t="inlineStr">
        <is>
          <t>ALVESTA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45155</v>
      </c>
      <c r="E460" s="1" t="n">
        <v>46276</v>
      </c>
      <c r="F460" t="inlineStr">
        <is>
          <t>KRONOBERGS LÄN</t>
        </is>
      </c>
      <c r="G460" t="inlineStr">
        <is>
          <t>ALVESTA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46163</v>
      </c>
      <c r="E461" s="1" t="n">
        <v>46276</v>
      </c>
      <c r="F461" t="inlineStr">
        <is>
          <t>KRONOBERGS LÄN</t>
        </is>
      </c>
      <c r="G461" t="inlineStr">
        <is>
          <t>ALVESTA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46276</v>
      </c>
      <c r="F462" t="inlineStr">
        <is>
          <t>KRONOBERGS LÄN</t>
        </is>
      </c>
      <c r="G462" t="inlineStr">
        <is>
          <t>ALVESTA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46276</v>
      </c>
      <c r="F463" t="inlineStr">
        <is>
          <t>KRONOBERGS LÄN</t>
        </is>
      </c>
      <c r="G463" t="inlineStr">
        <is>
          <t>ALVESTA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26621-2022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44739</v>
      </c>
      <c r="E464" s="1" t="n">
        <v>46276</v>
      </c>
      <c r="F464" t="inlineStr">
        <is>
          <t>KRONOBERGS LÄN</t>
        </is>
      </c>
      <c r="G464" t="inlineStr">
        <is>
          <t>ALVESTA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37113-2023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45155</v>
      </c>
      <c r="E465" s="1" t="n">
        <v>46276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46276</v>
      </c>
      <c r="F466" t="inlineStr">
        <is>
          <t>KRONOBERGS LÄN</t>
        </is>
      </c>
      <c r="G466" t="inlineStr">
        <is>
          <t>ALVESTA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45719</v>
      </c>
      <c r="E467" s="1" t="n">
        <v>46276</v>
      </c>
      <c r="F467" t="inlineStr">
        <is>
          <t>KRONOBERGS LÄN</t>
        </is>
      </c>
      <c r="G467" t="inlineStr">
        <is>
          <t>ALVESTA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34220-2024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45524</v>
      </c>
      <c r="E468" s="1" t="n">
        <v>46276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45005</v>
      </c>
      <c r="E469" s="1" t="n">
        <v>46276</v>
      </c>
      <c r="F469" t="inlineStr">
        <is>
          <t>KRONOBERGS LÄN</t>
        </is>
      </c>
      <c r="G469" t="inlineStr">
        <is>
          <t>ALVESTA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24419-2026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46169</v>
      </c>
      <c r="E470" s="1" t="n">
        <v>46276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50976-2023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45218</v>
      </c>
      <c r="E471" s="1" t="n">
        <v>46276</v>
      </c>
      <c r="F471" t="inlineStr">
        <is>
          <t>KRONOBERGS LÄN</t>
        </is>
      </c>
      <c r="G471" t="inlineStr">
        <is>
          <t>ALVESTA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10858-2023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44991</v>
      </c>
      <c r="E472" s="1" t="n">
        <v>46276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51210-2022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44868</v>
      </c>
      <c r="E473" s="1" t="n">
        <v>46276</v>
      </c>
      <c r="F473" t="inlineStr">
        <is>
          <t>KRONOBERGS LÄN</t>
        </is>
      </c>
      <c r="G473" t="inlineStr">
        <is>
          <t>ALVESTA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24420-2026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46169</v>
      </c>
      <c r="E474" s="1" t="n">
        <v>46276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46276</v>
      </c>
      <c r="F475" t="inlineStr">
        <is>
          <t>KRONOBERGS LÄN</t>
        </is>
      </c>
      <c r="G475" t="inlineStr">
        <is>
          <t>ALVESTA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46276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46276</v>
      </c>
      <c r="F477" t="inlineStr">
        <is>
          <t>KRONOBERGS LÄN</t>
        </is>
      </c>
      <c r="G477" t="inlineStr">
        <is>
          <t>ALVESTA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6479-2022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44601</v>
      </c>
      <c r="E478" s="1" t="n">
        <v>46276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45547</v>
      </c>
      <c r="E479" s="1" t="n">
        <v>46276</v>
      </c>
      <c r="F479" t="inlineStr">
        <is>
          <t>KRONOBERGS LÄN</t>
        </is>
      </c>
      <c r="G479" t="inlineStr">
        <is>
          <t>ALVESTA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46276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46276</v>
      </c>
      <c r="F481" t="inlineStr">
        <is>
          <t>KRONOBERGS LÄN</t>
        </is>
      </c>
      <c r="G481" t="inlineStr">
        <is>
          <t>ALVESTA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45068</v>
      </c>
      <c r="E482" s="1" t="n">
        <v>46276</v>
      </c>
      <c r="F482" t="inlineStr">
        <is>
          <t>KRONOBERGS LÄN</t>
        </is>
      </c>
      <c r="G482" t="inlineStr">
        <is>
          <t>ALVESTA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57938-2023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46276</v>
      </c>
      <c r="F483" t="inlineStr">
        <is>
          <t>KRONOBERGS LÄN</t>
        </is>
      </c>
      <c r="G483" t="inlineStr">
        <is>
          <t>ALVESTA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53458-2024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46276</v>
      </c>
      <c r="F484" t="inlineStr">
        <is>
          <t>KRONOBERGS LÄN</t>
        </is>
      </c>
      <c r="G484" t="inlineStr">
        <is>
          <t>ALVESTA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53459-2024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46276</v>
      </c>
      <c r="F485" t="inlineStr">
        <is>
          <t>KRONOBERGS LÄN</t>
        </is>
      </c>
      <c r="G485" t="inlineStr">
        <is>
          <t>ALVESTA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24692-2026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46276</v>
      </c>
      <c r="F486" t="inlineStr">
        <is>
          <t>KRONOBERGS LÄN</t>
        </is>
      </c>
      <c r="G486" t="inlineStr">
        <is>
          <t>ALVESTA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46276</v>
      </c>
      <c r="F487" t="inlineStr">
        <is>
          <t>KRONOBERGS LÄN</t>
        </is>
      </c>
      <c r="G487" t="inlineStr">
        <is>
          <t>ALVESTA</t>
        </is>
      </c>
      <c r="H487" t="inlineStr">
        <is>
          <t>Kommuner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45680</v>
      </c>
      <c r="E488" s="1" t="n">
        <v>46276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45305</v>
      </c>
      <c r="E489" s="1" t="n">
        <v>46276</v>
      </c>
      <c r="F489" t="inlineStr">
        <is>
          <t>KRONOBERGS LÄN</t>
        </is>
      </c>
      <c r="G489" t="inlineStr">
        <is>
          <t>ALVESTA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46276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11515-2025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45726</v>
      </c>
      <c r="E491" s="1" t="n">
        <v>46276</v>
      </c>
      <c r="F491" t="inlineStr">
        <is>
          <t>KRONOBERGS LÄN</t>
        </is>
      </c>
      <c r="G491" t="inlineStr">
        <is>
          <t>ALVESTA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53226-2024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45613</v>
      </c>
      <c r="E492" s="1" t="n">
        <v>46276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25567-2026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46276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46276</v>
      </c>
      <c r="F494" t="inlineStr">
        <is>
          <t>KRONOBERGS LÄN</t>
        </is>
      </c>
      <c r="G494" t="inlineStr">
        <is>
          <t>ALVESTA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44998</v>
      </c>
      <c r="E495" s="1" t="n">
        <v>46276</v>
      </c>
      <c r="F495" t="inlineStr">
        <is>
          <t>KRONOBERGS LÄN</t>
        </is>
      </c>
      <c r="G495" t="inlineStr">
        <is>
          <t>ALVESTA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46276</v>
      </c>
      <c r="F496" t="inlineStr">
        <is>
          <t>KRONOBERGS LÄN</t>
        </is>
      </c>
      <c r="G496" t="inlineStr">
        <is>
          <t>ALVESTA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9687-2024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45362</v>
      </c>
      <c r="E497" s="1" t="n">
        <v>46276</v>
      </c>
      <c r="F497" t="inlineStr">
        <is>
          <t>KRONOBERGS LÄN</t>
        </is>
      </c>
      <c r="G497" t="inlineStr">
        <is>
          <t>ALVESTA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27282-2026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46276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27077-2026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46186</v>
      </c>
      <c r="E499" s="1" t="n">
        <v>46276</v>
      </c>
      <c r="F499" t="inlineStr">
        <is>
          <t>KRONOBERGS LÄN</t>
        </is>
      </c>
      <c r="G499" t="inlineStr">
        <is>
          <t>ALVESTA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45644</v>
      </c>
      <c r="E500" s="1" t="n">
        <v>46276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46276</v>
      </c>
      <c r="F501" t="inlineStr">
        <is>
          <t>KRONOBERGS LÄN</t>
        </is>
      </c>
      <c r="G501" t="inlineStr">
        <is>
          <t>ALVESTA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27032-2026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46185</v>
      </c>
      <c r="E502" s="1" t="n">
        <v>46276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11618-2023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44994</v>
      </c>
      <c r="E503" s="1" t="n">
        <v>46276</v>
      </c>
      <c r="F503" t="inlineStr">
        <is>
          <t>KRONOBERGS LÄN</t>
        </is>
      </c>
      <c r="G503" t="inlineStr">
        <is>
          <t>ALVESTA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45267</v>
      </c>
      <c r="E504" s="1" t="n">
        <v>46276</v>
      </c>
      <c r="F504" t="inlineStr">
        <is>
          <t>KRONOBERGS LÄN</t>
        </is>
      </c>
      <c r="G504" t="inlineStr">
        <is>
          <t>ALVESTA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45076</v>
      </c>
      <c r="E505" s="1" t="n">
        <v>46276</v>
      </c>
      <c r="F505" t="inlineStr">
        <is>
          <t>KRONOBERGS LÄN</t>
        </is>
      </c>
      <c r="G505" t="inlineStr">
        <is>
          <t>ALVESTA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46276</v>
      </c>
      <c r="F506" t="inlineStr">
        <is>
          <t>KRONOBERGS LÄN</t>
        </is>
      </c>
      <c r="G506" t="inlineStr">
        <is>
          <t>ALVESTA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46276</v>
      </c>
      <c r="F507" t="inlineStr">
        <is>
          <t>KRONOBERGS LÄN</t>
        </is>
      </c>
      <c r="G507" t="inlineStr">
        <is>
          <t>ALVESTA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38890-2023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46276</v>
      </c>
      <c r="F508" t="inlineStr">
        <is>
          <t>KRONOBERGS LÄN</t>
        </is>
      </c>
      <c r="G508" t="inlineStr">
        <is>
          <t>ALVESTA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28237-2026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46276</v>
      </c>
      <c r="F509" t="inlineStr">
        <is>
          <t>KRONOBERGS LÄN</t>
        </is>
      </c>
      <c r="G509" t="inlineStr">
        <is>
          <t>ALVESTA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45524</v>
      </c>
      <c r="E510" s="1" t="n">
        <v>46276</v>
      </c>
      <c r="F510" t="inlineStr">
        <is>
          <t>KRONOBERGS LÄN</t>
        </is>
      </c>
      <c r="G510" t="inlineStr">
        <is>
          <t>ALVESTA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44880</v>
      </c>
      <c r="E511" s="1" t="n">
        <v>46276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59492-2022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44907</v>
      </c>
      <c r="E512" s="1" t="n">
        <v>46276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46238</v>
      </c>
      <c r="E513" s="1" t="n">
        <v>46276</v>
      </c>
      <c r="F513" t="inlineStr">
        <is>
          <t>KRONOBERGS LÄN</t>
        </is>
      </c>
      <c r="G513" t="inlineStr">
        <is>
          <t>ALVESTA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42411-2023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45180</v>
      </c>
      <c r="E514" s="1" t="n">
        <v>46276</v>
      </c>
      <c r="F514" t="inlineStr">
        <is>
          <t>KRONOBERGS LÄN</t>
        </is>
      </c>
      <c r="G514" t="inlineStr">
        <is>
          <t>ALVESTA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46276</v>
      </c>
      <c r="F515" t="inlineStr">
        <is>
          <t>KRONOBERGS LÄN</t>
        </is>
      </c>
      <c r="G515" t="inlineStr">
        <is>
          <t>ALVESTA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46276</v>
      </c>
      <c r="F516" t="inlineStr">
        <is>
          <t>KRONOBERGS LÄN</t>
        </is>
      </c>
      <c r="G516" t="inlineStr">
        <is>
          <t>ALVESTA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49078-2023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46276</v>
      </c>
      <c r="F517" t="inlineStr">
        <is>
          <t>KRONOBERGS LÄN</t>
        </is>
      </c>
      <c r="G517" t="inlineStr">
        <is>
          <t>ALVESTA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45385</v>
      </c>
      <c r="E518" s="1" t="n">
        <v>46276</v>
      </c>
      <c r="F518" t="inlineStr">
        <is>
          <t>KRONOBERGS LÄN</t>
        </is>
      </c>
      <c r="G518" t="inlineStr">
        <is>
          <t>ALVESTA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9244-2024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46276</v>
      </c>
      <c r="F519" t="inlineStr">
        <is>
          <t>KRONOBERGS LÄN</t>
        </is>
      </c>
      <c r="G519" t="inlineStr">
        <is>
          <t>ALVESTA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46241</v>
      </c>
      <c r="E520" s="1" t="n">
        <v>46276</v>
      </c>
      <c r="F520" t="inlineStr">
        <is>
          <t>KRONOBERGS LÄN</t>
        </is>
      </c>
      <c r="G520" t="inlineStr">
        <is>
          <t>ALVESTA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46241</v>
      </c>
      <c r="E521" s="1" t="n">
        <v>46276</v>
      </c>
      <c r="F521" t="inlineStr">
        <is>
          <t>KRONOBERGS LÄN</t>
        </is>
      </c>
      <c r="G521" t="inlineStr">
        <is>
          <t>ALVESTA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46241</v>
      </c>
      <c r="E522" s="1" t="n">
        <v>46276</v>
      </c>
      <c r="F522" t="inlineStr">
        <is>
          <t>KRONOBERGS LÄN</t>
        </is>
      </c>
      <c r="G522" t="inlineStr">
        <is>
          <t>ALVESTA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32798-2026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46241</v>
      </c>
      <c r="E523" s="1" t="n">
        <v>46276</v>
      </c>
      <c r="F523" t="inlineStr">
        <is>
          <t>KRONOBERGS LÄN</t>
        </is>
      </c>
      <c r="G523" t="inlineStr">
        <is>
          <t>ALVESTA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46241</v>
      </c>
      <c r="E524" s="1" t="n">
        <v>46276</v>
      </c>
      <c r="F524" t="inlineStr">
        <is>
          <t>KRONOBERGS LÄN</t>
        </is>
      </c>
      <c r="G524" t="inlineStr">
        <is>
          <t>ALVESTA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46276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62645-2022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44925</v>
      </c>
      <c r="E526" s="1" t="n">
        <v>46276</v>
      </c>
      <c r="F526" t="inlineStr">
        <is>
          <t>KRONOBERGS LÄN</t>
        </is>
      </c>
      <c r="G526" t="inlineStr">
        <is>
          <t>ALVESTA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45302</v>
      </c>
      <c r="E527" s="1" t="n">
        <v>46276</v>
      </c>
      <c r="F527" t="inlineStr">
        <is>
          <t>KRONOBERGS LÄN</t>
        </is>
      </c>
      <c r="G527" t="inlineStr">
        <is>
          <t>ALVESTA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46276</v>
      </c>
      <c r="F528" t="inlineStr">
        <is>
          <t>KRONOBERGS LÄN</t>
        </is>
      </c>
      <c r="G528" t="inlineStr">
        <is>
          <t>ALVESTA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45032</v>
      </c>
      <c r="E529" s="1" t="n">
        <v>46276</v>
      </c>
      <c r="F529" t="inlineStr">
        <is>
          <t>KRONOBERGS LÄN</t>
        </is>
      </c>
      <c r="G529" t="inlineStr">
        <is>
          <t>ALVESTA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46276</v>
      </c>
      <c r="F530" t="inlineStr">
        <is>
          <t>KRONOBERGS LÄN</t>
        </is>
      </c>
      <c r="G530" t="inlineStr">
        <is>
          <t>ALVESTA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50703-2023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45217</v>
      </c>
      <c r="E531" s="1" t="n">
        <v>46276</v>
      </c>
      <c r="F531" t="inlineStr">
        <is>
          <t>KRONOBERGS LÄN</t>
        </is>
      </c>
      <c r="G531" t="inlineStr">
        <is>
          <t>ALVESTA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45128</v>
      </c>
      <c r="E532" s="1" t="n">
        <v>46276</v>
      </c>
      <c r="F532" t="inlineStr">
        <is>
          <t>KRONOBERGS LÄN</t>
        </is>
      </c>
      <c r="G532" t="inlineStr">
        <is>
          <t>ALVESTA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46276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45744</v>
      </c>
      <c r="E534" s="1" t="n">
        <v>46276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28336-2022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44747</v>
      </c>
      <c r="E535" s="1" t="n">
        <v>46276</v>
      </c>
      <c r="F535" t="inlineStr">
        <is>
          <t>KRONOBERGS LÄN</t>
        </is>
      </c>
      <c r="G535" t="inlineStr">
        <is>
          <t>ALVESTA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44978</v>
      </c>
      <c r="E536" s="1" t="n">
        <v>46276</v>
      </c>
      <c r="F536" t="inlineStr">
        <is>
          <t>KRONOBERGS LÄN</t>
        </is>
      </c>
      <c r="G536" t="inlineStr">
        <is>
          <t>ALVESTA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46276</v>
      </c>
      <c r="F537" t="inlineStr">
        <is>
          <t>KRONOBERGS LÄN</t>
        </is>
      </c>
      <c r="G537" t="inlineStr">
        <is>
          <t>ALVESTA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46276</v>
      </c>
      <c r="F538" t="inlineStr">
        <is>
          <t>KRONOBERGS LÄN</t>
        </is>
      </c>
      <c r="G538" t="inlineStr">
        <is>
          <t>ALVESTA</t>
        </is>
      </c>
      <c r="I538" t="n">
        <v>10.4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44581</v>
      </c>
      <c r="E539" s="1" t="n">
        <v>46276</v>
      </c>
      <c r="F539" t="inlineStr">
        <is>
          <t>KRONOBERGS LÄN</t>
        </is>
      </c>
      <c r="G539" t="inlineStr">
        <is>
          <t>ALVESTA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46276</v>
      </c>
      <c r="F540" t="inlineStr">
        <is>
          <t>KRONOBERGS LÄN</t>
        </is>
      </c>
      <c r="G540" t="inlineStr">
        <is>
          <t>ALVESTA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37843-2024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46276</v>
      </c>
      <c r="F541" t="inlineStr">
        <is>
          <t>KRONOBERGS LÄN</t>
        </is>
      </c>
      <c r="G541" t="inlineStr">
        <is>
          <t>ALVESTA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46276</v>
      </c>
      <c r="F542" t="inlineStr">
        <is>
          <t>KRONOBERGS LÄN</t>
        </is>
      </c>
      <c r="G542" t="inlineStr">
        <is>
          <t>ALVESTA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33290-2026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46246</v>
      </c>
      <c r="E543" s="1" t="n">
        <v>46276</v>
      </c>
      <c r="F543" t="inlineStr">
        <is>
          <t>KRONOBERGS LÄN</t>
        </is>
      </c>
      <c r="G543" t="inlineStr">
        <is>
          <t>ALVESTA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45329</v>
      </c>
      <c r="E544" s="1" t="n">
        <v>46276</v>
      </c>
      <c r="F544" t="inlineStr">
        <is>
          <t>KRONOBERGS LÄN</t>
        </is>
      </c>
      <c r="G544" t="inlineStr">
        <is>
          <t>ALVESTA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46203</v>
      </c>
      <c r="E545" s="1" t="n">
        <v>46276</v>
      </c>
      <c r="F545" t="inlineStr">
        <is>
          <t>KRONOBERGS LÄN</t>
        </is>
      </c>
      <c r="G545" t="inlineStr">
        <is>
          <t>ALVESTA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45136</v>
      </c>
      <c r="E546" s="1" t="n">
        <v>46276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20609-2024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45436</v>
      </c>
      <c r="E547" s="1" t="n">
        <v>46276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40566-2024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45555</v>
      </c>
      <c r="E548" s="1" t="n">
        <v>46276</v>
      </c>
      <c r="F548" t="inlineStr">
        <is>
          <t>KRONOBERGS LÄN</t>
        </is>
      </c>
      <c r="G548" t="inlineStr">
        <is>
          <t>ALVESTA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45565</v>
      </c>
      <c r="E549" s="1" t="n">
        <v>46276</v>
      </c>
      <c r="F549" t="inlineStr">
        <is>
          <t>KRONOBERGS LÄN</t>
        </is>
      </c>
      <c r="G549" t="inlineStr">
        <is>
          <t>ALVESTA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49407-2024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45595</v>
      </c>
      <c r="E550" s="1" t="n">
        <v>46276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46276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46276</v>
      </c>
      <c r="F552" t="inlineStr">
        <is>
          <t>KRONOBERGS LÄN</t>
        </is>
      </c>
      <c r="G552" t="inlineStr">
        <is>
          <t>ALVESTA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35529-2023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45146</v>
      </c>
      <c r="E553" s="1" t="n">
        <v>46276</v>
      </c>
      <c r="F553" t="inlineStr">
        <is>
          <t>KRONOBERGS LÄN</t>
        </is>
      </c>
      <c r="G553" t="inlineStr">
        <is>
          <t>ALVESTA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45330</v>
      </c>
      <c r="E554" s="1" t="n">
        <v>46276</v>
      </c>
      <c r="F554" t="inlineStr">
        <is>
          <t>KRONOBERGS LÄN</t>
        </is>
      </c>
      <c r="G554" t="inlineStr">
        <is>
          <t>ALVESTA</t>
        </is>
      </c>
      <c r="H554" t="inlineStr">
        <is>
          <t>Övriga Aktiebolag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26225-2022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44735</v>
      </c>
      <c r="E555" s="1" t="n">
        <v>46276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54922-2024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45618</v>
      </c>
      <c r="E556" s="1" t="n">
        <v>46276</v>
      </c>
      <c r="F556" t="inlineStr">
        <is>
          <t>KRONOBERGS LÄN</t>
        </is>
      </c>
      <c r="G556" t="inlineStr">
        <is>
          <t>ALVESTA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46276</v>
      </c>
      <c r="F557" t="inlineStr">
        <is>
          <t>KRONOBERGS LÄN</t>
        </is>
      </c>
      <c r="G557" t="inlineStr">
        <is>
          <t>ALVESTA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46252</v>
      </c>
      <c r="E558" s="1" t="n">
        <v>46276</v>
      </c>
      <c r="F558" t="inlineStr">
        <is>
          <t>KRONOBERGS LÄN</t>
        </is>
      </c>
      <c r="G558" t="inlineStr">
        <is>
          <t>ALVESTA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45342</v>
      </c>
      <c r="E559" s="1" t="n">
        <v>46276</v>
      </c>
      <c r="F559" t="inlineStr">
        <is>
          <t>KRONOBERGS LÄN</t>
        </is>
      </c>
      <c r="G559" t="inlineStr">
        <is>
          <t>ALVESTA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57121-2022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44895</v>
      </c>
      <c r="E560" s="1" t="n">
        <v>46276</v>
      </c>
      <c r="F560" t="inlineStr">
        <is>
          <t>KRONOBERGS LÄN</t>
        </is>
      </c>
      <c r="G560" t="inlineStr">
        <is>
          <t>ALVESTA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45519</v>
      </c>
      <c r="E561" s="1" t="n">
        <v>46276</v>
      </c>
      <c r="F561" t="inlineStr">
        <is>
          <t>KRONOBERGS LÄN</t>
        </is>
      </c>
      <c r="G561" t="inlineStr">
        <is>
          <t>ALVESTA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30384-2026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46209</v>
      </c>
      <c r="E562" s="1" t="n">
        <v>46276</v>
      </c>
      <c r="F562" t="inlineStr">
        <is>
          <t>KRONOBERGS LÄN</t>
        </is>
      </c>
      <c r="G562" t="inlineStr">
        <is>
          <t>ALVESTA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46212</v>
      </c>
      <c r="E563" s="1" t="n">
        <v>46276</v>
      </c>
      <c r="F563" t="inlineStr">
        <is>
          <t>KRONOBERGS LÄN</t>
        </is>
      </c>
      <c r="G563" t="inlineStr">
        <is>
          <t>ALVESTA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46276</v>
      </c>
      <c r="F564" t="inlineStr">
        <is>
          <t>KRONOBERGS LÄN</t>
        </is>
      </c>
      <c r="G564" t="inlineStr">
        <is>
          <t>ALVESTA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45336</v>
      </c>
      <c r="E565" s="1" t="n">
        <v>46276</v>
      </c>
      <c r="F565" t="inlineStr">
        <is>
          <t>KRONOBERGS LÄN</t>
        </is>
      </c>
      <c r="G565" t="inlineStr">
        <is>
          <t>ALVESTA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72318-2021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44545</v>
      </c>
      <c r="E566" s="1" t="n">
        <v>46276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45153</v>
      </c>
      <c r="E567" s="1" t="n">
        <v>46276</v>
      </c>
      <c r="F567" t="inlineStr">
        <is>
          <t>KRONOBERGS LÄN</t>
        </is>
      </c>
      <c r="G567" t="inlineStr">
        <is>
          <t>ALVESTA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45153</v>
      </c>
      <c r="E568" s="1" t="n">
        <v>46276</v>
      </c>
      <c r="F568" t="inlineStr">
        <is>
          <t>KRONOBERGS LÄN</t>
        </is>
      </c>
      <c r="G568" t="inlineStr">
        <is>
          <t>ALVESTA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45180</v>
      </c>
      <c r="E569" s="1" t="n">
        <v>46276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44812</v>
      </c>
      <c r="E570" s="1" t="n">
        <v>46276</v>
      </c>
      <c r="F570" t="inlineStr">
        <is>
          <t>KRONOBERGS LÄN</t>
        </is>
      </c>
      <c r="G570" t="inlineStr">
        <is>
          <t>ALVESTA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14865-2024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45398</v>
      </c>
      <c r="E571" s="1" t="n">
        <v>46276</v>
      </c>
      <c r="F571" t="inlineStr">
        <is>
          <t>KRONOBERGS LÄN</t>
        </is>
      </c>
      <c r="G571" t="inlineStr">
        <is>
          <t>ALVESTA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46259</v>
      </c>
      <c r="E572" s="1" t="n">
        <v>46276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36182-2023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45149</v>
      </c>
      <c r="E573" s="1" t="n">
        <v>46276</v>
      </c>
      <c r="F573" t="inlineStr">
        <is>
          <t>KRONOBERGS LÄN</t>
        </is>
      </c>
      <c r="G573" t="inlineStr">
        <is>
          <t>ALVESTA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27247-2024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45471</v>
      </c>
      <c r="E574" s="1" t="n">
        <v>46276</v>
      </c>
      <c r="F574" t="inlineStr">
        <is>
          <t>KRONOBERGS LÄN</t>
        </is>
      </c>
      <c r="G574" t="inlineStr">
        <is>
          <t>ALVESTA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45471</v>
      </c>
      <c r="E575" s="1" t="n">
        <v>46276</v>
      </c>
      <c r="F575" t="inlineStr">
        <is>
          <t>KRONOBERGS LÄN</t>
        </is>
      </c>
      <c r="G575" t="inlineStr">
        <is>
          <t>ALVESTA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61902-2024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45653</v>
      </c>
      <c r="E576" s="1" t="n">
        <v>46276</v>
      </c>
      <c r="F576" t="inlineStr">
        <is>
          <t>KRONOBERGS LÄN</t>
        </is>
      </c>
      <c r="G576" t="inlineStr">
        <is>
          <t>ALVESTA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45447</v>
      </c>
      <c r="E577" s="1" t="n">
        <v>46276</v>
      </c>
      <c r="F577" t="inlineStr">
        <is>
          <t>KRONOBERGS LÄN</t>
        </is>
      </c>
      <c r="G577" t="inlineStr">
        <is>
          <t>ALVESTA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45328</v>
      </c>
      <c r="E578" s="1" t="n">
        <v>46276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37278-2024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45540</v>
      </c>
      <c r="E579" s="1" t="n">
        <v>46276</v>
      </c>
      <c r="F579" t="inlineStr">
        <is>
          <t>KRONOBERGS LÄN</t>
        </is>
      </c>
      <c r="G579" t="inlineStr">
        <is>
          <t>ALVESTA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65094-2023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46276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49556-2021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44455</v>
      </c>
      <c r="E581" s="1" t="n">
        <v>46276</v>
      </c>
      <c r="F581" t="inlineStr">
        <is>
          <t>KRONOBERGS LÄN</t>
        </is>
      </c>
      <c r="G581" t="inlineStr">
        <is>
          <t>ALVESTA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46276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46276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45551</v>
      </c>
      <c r="E584" s="1" t="n">
        <v>46276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12917-2024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45385</v>
      </c>
      <c r="E585" s="1" t="n">
        <v>46276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45113</v>
      </c>
      <c r="E586" s="1" t="n">
        <v>46276</v>
      </c>
      <c r="F586" t="inlineStr">
        <is>
          <t>KRONOBERGS LÄN</t>
        </is>
      </c>
      <c r="G586" t="inlineStr">
        <is>
          <t>ALVESTA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45700</v>
      </c>
      <c r="E587" s="1" t="n">
        <v>46276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54116-2024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45616</v>
      </c>
      <c r="E588" s="1" t="n">
        <v>46276</v>
      </c>
      <c r="F588" t="inlineStr">
        <is>
          <t>KRONOBERGS LÄN</t>
        </is>
      </c>
      <c r="G588" t="inlineStr">
        <is>
          <t>ALVESTA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45407</v>
      </c>
      <c r="E589" s="1" t="n">
        <v>46276</v>
      </c>
      <c r="F589" t="inlineStr">
        <is>
          <t>KRONOBERGS LÄN</t>
        </is>
      </c>
      <c r="G589" t="inlineStr">
        <is>
          <t>ALVESTA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46276</v>
      </c>
      <c r="F590" t="inlineStr">
        <is>
          <t>KRONOBERGS LÄN</t>
        </is>
      </c>
      <c r="G590" t="inlineStr">
        <is>
          <t>ALVESTA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36565-2026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46269</v>
      </c>
      <c r="E591" s="1" t="n">
        <v>46276</v>
      </c>
      <c r="F591" t="inlineStr">
        <is>
          <t>KRONOBERGS LÄN</t>
        </is>
      </c>
      <c r="G591" t="inlineStr">
        <is>
          <t>ALVESTA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21296-2024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46276</v>
      </c>
      <c r="F592" t="inlineStr">
        <is>
          <t>KRONOBERGS LÄN</t>
        </is>
      </c>
      <c r="G592" t="inlineStr">
        <is>
          <t>ALVESTA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45456</v>
      </c>
      <c r="E593" s="1" t="n">
        <v>46276</v>
      </c>
      <c r="F593" t="inlineStr">
        <is>
          <t>KRONOBERGS LÄN</t>
        </is>
      </c>
      <c r="G593" t="inlineStr">
        <is>
          <t>ALVESTA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45363</v>
      </c>
      <c r="E594" s="1" t="n">
        <v>46276</v>
      </c>
      <c r="F594" t="inlineStr">
        <is>
          <t>KRONOBERGS LÄN</t>
        </is>
      </c>
      <c r="G594" t="inlineStr">
        <is>
          <t>ALVESTA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45705</v>
      </c>
      <c r="E595" s="1" t="n">
        <v>46276</v>
      </c>
      <c r="F595" t="inlineStr">
        <is>
          <t>KRONOBERGS LÄN</t>
        </is>
      </c>
      <c r="G595" t="inlineStr">
        <is>
          <t>ALVESTA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23006-2025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45790</v>
      </c>
      <c r="E596" s="1" t="n">
        <v>46276</v>
      </c>
      <c r="F596" t="inlineStr">
        <is>
          <t>KRONOBERGS LÄN</t>
        </is>
      </c>
      <c r="G596" t="inlineStr">
        <is>
          <t>ALVESTA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46276</v>
      </c>
      <c r="F597" t="inlineStr">
        <is>
          <t>KRONOBERGS LÄN</t>
        </is>
      </c>
      <c r="G597" t="inlineStr">
        <is>
          <t>ALVESTA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46272</v>
      </c>
      <c r="E598" s="1" t="n">
        <v>46276</v>
      </c>
      <c r="F598" t="inlineStr">
        <is>
          <t>KRONOBERGS LÄN</t>
        </is>
      </c>
      <c r="G598" t="inlineStr">
        <is>
          <t>ALVESTA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36949-2026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46276</v>
      </c>
      <c r="F599" t="inlineStr">
        <is>
          <t>KRONOBERGS LÄN</t>
        </is>
      </c>
      <c r="G599" t="inlineStr">
        <is>
          <t>ALVESTA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15063-2023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45015</v>
      </c>
      <c r="E600" s="1" t="n">
        <v>46276</v>
      </c>
      <c r="F600" t="inlineStr">
        <is>
          <t>KRONOBERGS LÄN</t>
        </is>
      </c>
      <c r="G600" t="inlineStr">
        <is>
          <t>ALVESTA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37940-2024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46276</v>
      </c>
      <c r="F601" t="inlineStr">
        <is>
          <t>KRONOBERGS LÄN</t>
        </is>
      </c>
      <c r="G601" t="inlineStr">
        <is>
          <t>ALVESTA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46276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37095-2026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46274</v>
      </c>
      <c r="E603" s="1" t="n">
        <v>46276</v>
      </c>
      <c r="F603" t="inlineStr">
        <is>
          <t>KRONOBERGS LÄN</t>
        </is>
      </c>
      <c r="G603" t="inlineStr">
        <is>
          <t>ALVESTA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37149-2026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46274</v>
      </c>
      <c r="E604" s="1" t="n">
        <v>46276</v>
      </c>
      <c r="F604" t="inlineStr">
        <is>
          <t>KRONOBERGS LÄN</t>
        </is>
      </c>
      <c r="G604" t="inlineStr">
        <is>
          <t>ALVESTA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3838-2022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44743</v>
      </c>
      <c r="E605" s="1" t="n">
        <v>46276</v>
      </c>
      <c r="F605" t="inlineStr">
        <is>
          <t>KRONOBERGS LÄN</t>
        </is>
      </c>
      <c r="G605" t="inlineStr">
        <is>
          <t>ALVESTA</t>
        </is>
      </c>
      <c r="I605" t="n">
        <v>15.8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572-2024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45350</v>
      </c>
      <c r="E606" s="1" t="n">
        <v>46276</v>
      </c>
      <c r="F606" t="inlineStr">
        <is>
          <t>KRONOBERGS LÄN</t>
        </is>
      </c>
      <c r="G606" t="inlineStr">
        <is>
          <t>ALVESTA</t>
        </is>
      </c>
      <c r="I606" t="n">
        <v>32.7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6869-2022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44903</v>
      </c>
      <c r="E607" s="1" t="n">
        <v>46276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46276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46276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46276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46276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46276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46276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46276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46276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46276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1569-2022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44643</v>
      </c>
      <c r="E617" s="1" t="n">
        <v>46276</v>
      </c>
      <c r="F617" t="inlineStr">
        <is>
          <t>KRONOBERGS LÄN</t>
        </is>
      </c>
      <c r="G617" t="inlineStr">
        <is>
          <t>ALVESTA</t>
        </is>
      </c>
      <c r="I617" t="n">
        <v>21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46276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46276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46276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46276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46276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46276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46276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46276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46276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46276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46276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46276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46276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46276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46276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46276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46276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2026-09-11T02:14:31Z</dcterms:created>
  <dcterms:modified xmlns:dcterms="http://purl.org/dc/terms/" xmlns:xsi="http://www.w3.org/2001/XMLSchema-instance" xsi:type="dcterms:W3CDTF">2026-09-11T02:14:31Z</dcterms:modified>
</cp:coreProperties>
</file>