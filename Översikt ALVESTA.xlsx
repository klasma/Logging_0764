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46319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46319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46319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40877-2026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46297</v>
      </c>
      <c r="E15" s="1" t="n">
        <v>46319</v>
      </c>
      <c r="F15" t="inlineStr">
        <is>
          <t>KRONOBERGS LÄN</t>
        </is>
      </c>
      <c r="G15" t="inlineStr">
        <is>
          <t>ALVESTA</t>
        </is>
      </c>
      <c r="I15" t="n">
        <v>5.7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6</v>
      </c>
      <c r="U15" t="n">
        <v>0</v>
      </c>
      <c r="V15" s="2" t="inlineStr">
        <is>
          <t>Brunfläckig pärlemorfjäril
Slåttergubbe
Jungfrulin</t>
        </is>
      </c>
      <c r="W15">
        <f>HYPERLINK("https://klasma.github.io/Logging_0764/artfynd/A 40877-2026 artfynd.xlsx", "A 40877-2026")</f>
        <v/>
      </c>
      <c r="X15">
        <f>HYPERLINK("https://klasma.github.io/Logging_0764/kartor/A 40877-2026 karta.png", "A 40877-2026")</f>
        <v/>
      </c>
      <c r="Y15">
        <f>HYPERLINK("https://klasma.github.io/Logging_0764/kartor_geotiff/A 40877-2026 georefererad karta.tif", "A 40877-2026")</f>
        <v/>
      </c>
      <c r="AA15">
        <f>HYPERLINK("https://klasma.github.io/Logging_0764/klagomål/A 40877-2026 FSC-klagomål.docx", "A 40877-2026")</f>
        <v/>
      </c>
      <c r="AB15">
        <f>HYPERLINK("https://klasma.github.io/Logging_0764/klagomålsmail/A 40877-2026 FSC-klagomål mail.docx", "A 40877-2026")</f>
        <v/>
      </c>
      <c r="AC15">
        <f>HYPERLINK("https://klasma.github.io/Logging_0764/tillsyn/A 40877-2026 tillsynsbegäran.docx", "A 40877-2026")</f>
        <v/>
      </c>
      <c r="AD15">
        <f>HYPERLINK("https://klasma.github.io/Logging_0764/tillsynsmail/A 40877-2026 tillsynsbegäran mail.docx", "A 40877-2026")</f>
        <v/>
      </c>
    </row>
    <row r="16" ht="15" customHeight="1">
      <c r="A16" t="inlineStr">
        <is>
          <t>A 37143-2026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46274</v>
      </c>
      <c r="E16" s="1" t="n">
        <v>46319</v>
      </c>
      <c r="F16" t="inlineStr">
        <is>
          <t>KRONOBERGS LÄN</t>
        </is>
      </c>
      <c r="G16" t="inlineStr">
        <is>
          <t>ALVESTA</t>
        </is>
      </c>
      <c r="I16" t="n">
        <v>5.8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2</v>
      </c>
      <c r="V16" s="2" t="inlineStr">
        <is>
          <t>Vedtrappmossa
Stor revmossa
Västlig hakmossa</t>
        </is>
      </c>
      <c r="W16">
        <f>HYPERLINK("https://klasma.github.io/Logging_0764/artfynd/A 37143-2026 artfynd.xlsx", "A 37143-2026")</f>
        <v/>
      </c>
      <c r="X16">
        <f>HYPERLINK("https://klasma.github.io/Logging_0764/kartor/A 37143-2026 karta.png", "A 37143-2026")</f>
        <v/>
      </c>
      <c r="Y16">
        <f>HYPERLINK("https://klasma.github.io/Logging_0764/kartor_geotiff/A 37143-2026 georefererad karta.tif", "A 37143-2026")</f>
        <v/>
      </c>
      <c r="AA16">
        <f>HYPERLINK("https://klasma.github.io/Logging_0764/klagomål/A 37143-2026 FSC-klagomål.docx", "A 37143-2026")</f>
        <v/>
      </c>
      <c r="AB16">
        <f>HYPERLINK("https://klasma.github.io/Logging_0764/klagomålsmail/A 37143-2026 FSC-klagomål mail.docx", "A 37143-2026")</f>
        <v/>
      </c>
      <c r="AC16">
        <f>HYPERLINK("https://klasma.github.io/Logging_0764/tillsyn/A 37143-2026 tillsynsbegäran.docx", "A 37143-2026")</f>
        <v/>
      </c>
      <c r="AD16">
        <f>HYPERLINK("https://klasma.github.io/Logging_0764/tillsynsmail/A 37143-2026 tillsynsbegäran mail.docx", "A 37143-2026")</f>
        <v/>
      </c>
    </row>
    <row r="17" ht="15" customHeight="1">
      <c r="A17" t="inlineStr">
        <is>
          <t>A 18207-2023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45041</v>
      </c>
      <c r="E17" s="1" t="n">
        <v>46319</v>
      </c>
      <c r="F17" t="inlineStr">
        <is>
          <t>KRONOBERGS LÄN</t>
        </is>
      </c>
      <c r="G17" t="inlineStr">
        <is>
          <t>ALVESTA</t>
        </is>
      </c>
      <c r="I17" t="n">
        <v>2.1</v>
      </c>
      <c r="J17" t="n">
        <v>0</v>
      </c>
      <c r="K17" t="n">
        <v>0</v>
      </c>
      <c r="L17" t="n">
        <v>0</v>
      </c>
      <c r="M17" t="n">
        <v>2</v>
      </c>
      <c r="N17" t="n">
        <v>1</v>
      </c>
      <c r="O17" t="n">
        <v>0</v>
      </c>
      <c r="P17" t="n">
        <v>0</v>
      </c>
      <c r="Q17" t="n">
        <v>3</v>
      </c>
      <c r="R17" t="n">
        <v>3</v>
      </c>
      <c r="S17" t="n">
        <v>3</v>
      </c>
      <c r="T17" t="n">
        <v>5</v>
      </c>
      <c r="U17" t="n">
        <v>4</v>
      </c>
      <c r="V17" s="2" t="inlineStr">
        <is>
          <t>Ask
Gulvit blekspik
Liten blekspik</t>
        </is>
      </c>
      <c r="W17">
        <f>HYPERLINK("https://klasma.github.io/Logging_0764/artfynd/A 18207-2023 artfynd.xlsx", "A 18207-2023")</f>
        <v/>
      </c>
      <c r="X17">
        <f>HYPERLINK("https://klasma.github.io/Logging_0764/kartor/A 18207-2023 karta.png", "A 18207-2023")</f>
        <v/>
      </c>
      <c r="Y17">
        <f>HYPERLINK("https://klasma.github.io/Logging_0764/kartor_geotiff/A 18207-2023 georefererad karta.tif", "A 18207-2023")</f>
        <v/>
      </c>
      <c r="AA17">
        <f>HYPERLINK("https://klasma.github.io/Logging_0764/klagomål/A 18207-2023 FSC-klagomål.docx", "A 18207-2023")</f>
        <v/>
      </c>
      <c r="AB17">
        <f>HYPERLINK("https://klasma.github.io/Logging_0764/klagomålsmail/A 18207-2023 FSC-klagomål mail.docx", "A 18207-2023")</f>
        <v/>
      </c>
      <c r="AC17">
        <f>HYPERLINK("https://klasma.github.io/Logging_0764/tillsyn/A 18207-2023 tillsynsbegäran.docx", "A 18207-2023")</f>
        <v/>
      </c>
      <c r="AD17">
        <f>HYPERLINK("https://klasma.github.io/Logging_0764/tillsynsmail/A 18207-2023 tillsynsbegäran mail.docx", "A 18207-2023")</f>
        <v/>
      </c>
    </row>
    <row r="18" ht="15" customHeight="1">
      <c r="A18" t="inlineStr">
        <is>
          <t>A 47462-2024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45587</v>
      </c>
      <c r="E18" s="1" t="n">
        <v>46319</v>
      </c>
      <c r="F18" t="inlineStr">
        <is>
          <t>KRONOBERGS LÄN</t>
        </is>
      </c>
      <c r="G18" t="inlineStr">
        <is>
          <t>ALVESTA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Gulnål
Kärrviol
Missne</t>
        </is>
      </c>
      <c r="W18">
        <f>HYPERLINK("https://klasma.github.io/Logging_0764/artfynd/A 47462-2024 artfynd.xlsx", "A 47462-2024")</f>
        <v/>
      </c>
      <c r="X18">
        <f>HYPERLINK("https://klasma.github.io/Logging_0764/kartor/A 47462-2024 karta.png", "A 47462-2024")</f>
        <v/>
      </c>
      <c r="Y18">
        <f>HYPERLINK("https://klasma.github.io/Logging_0764/kartor_geotiff/A 47462-2024 georefererad karta.tif", "A 47462-2024")</f>
        <v/>
      </c>
      <c r="AA18">
        <f>HYPERLINK("https://klasma.github.io/Logging_0764/klagomål/A 47462-2024 FSC-klagomål.docx", "A 47462-2024")</f>
        <v/>
      </c>
      <c r="AB18">
        <f>HYPERLINK("https://klasma.github.io/Logging_0764/klagomålsmail/A 47462-2024 FSC-klagomål mail.docx", "A 47462-2024")</f>
        <v/>
      </c>
      <c r="AC18">
        <f>HYPERLINK("https://klasma.github.io/Logging_0764/tillsyn/A 47462-2024 tillsynsbegäran.docx", "A 47462-2024")</f>
        <v/>
      </c>
      <c r="AD18">
        <f>HYPERLINK("https://klasma.github.io/Logging_0764/tillsynsmail/A 47462-2024 tillsynsbegäran mail.docx", "A 47462-2024")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46319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46319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46319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46319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1811-2025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46319</v>
      </c>
      <c r="F23" t="inlineStr">
        <is>
          <t>KRONOBERGS LÄN</t>
        </is>
      </c>
      <c r="G23" t="inlineStr">
        <is>
          <t>ALVESTA</t>
        </is>
      </c>
      <c r="H23" t="inlineStr">
        <is>
          <t>Kyrkan</t>
        </is>
      </c>
      <c r="I23" t="n">
        <v>2.3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Blomkålssvamp
Spillkråka</t>
        </is>
      </c>
      <c r="W23">
        <f>HYPERLINK("https://klasma.github.io/Logging_0764/artfynd/A 1811-2025 artfynd.xlsx", "A 1811-2025")</f>
        <v/>
      </c>
      <c r="X23">
        <f>HYPERLINK("https://klasma.github.io/Logging_0764/kartor/A 1811-2025 karta.png", "A 1811-2025")</f>
        <v/>
      </c>
      <c r="Y23">
        <f>HYPERLINK("https://klasma.github.io/Logging_0764/kartor_geotiff/A 1811-2025 georefererad karta.tif", "A 1811-2025")</f>
        <v/>
      </c>
      <c r="AA23">
        <f>HYPERLINK("https://klasma.github.io/Logging_0764/klagomål/A 1811-2025 FSC-klagomål.docx", "A 1811-2025")</f>
        <v/>
      </c>
      <c r="AB23">
        <f>HYPERLINK("https://klasma.github.io/Logging_0764/klagomålsmail/A 1811-2025 FSC-klagomål mail.docx", "A 1811-2025")</f>
        <v/>
      </c>
      <c r="AC23">
        <f>HYPERLINK("https://klasma.github.io/Logging_0764/tillsyn/A 1811-2025 tillsynsbegäran.docx", "A 1811-2025")</f>
        <v/>
      </c>
      <c r="AD23">
        <f>HYPERLINK("https://klasma.github.io/Logging_0764/tillsynsmail/A 1811-2025 tillsynsbegäran mail.docx", "A 1811-2025")</f>
        <v/>
      </c>
      <c r="AE23">
        <f>HYPERLINK("https://klasma.github.io/Logging_0764/fåglar/A 1811-2025 prioriterade fågelarter.docx", "A 1811-2025")</f>
        <v/>
      </c>
    </row>
    <row r="24" ht="15" customHeight="1">
      <c r="A24" t="inlineStr">
        <is>
          <t>A 32789-2026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46241</v>
      </c>
      <c r="E24" s="1" t="n">
        <v>46319</v>
      </c>
      <c r="F24" t="inlineStr">
        <is>
          <t>KRONOBERGS LÄN</t>
        </is>
      </c>
      <c r="G24" t="inlineStr">
        <is>
          <t>ALVESTA</t>
        </is>
      </c>
      <c r="I24" t="n">
        <v>16.5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Huggorm</t>
        </is>
      </c>
      <c r="W24">
        <f>HYPERLINK("https://klasma.github.io/Logging_0764/artfynd/A 32789-2026 artfynd.xlsx", "A 32789-2026")</f>
        <v/>
      </c>
      <c r="X24">
        <f>HYPERLINK("https://klasma.github.io/Logging_0764/kartor/A 32789-2026 karta.png", "A 32789-2026")</f>
        <v/>
      </c>
      <c r="Y24">
        <f>HYPERLINK("https://klasma.github.io/Logging_0764/kartor_geotiff/A 32789-2026 georefererad karta.tif", "A 32789-2026")</f>
        <v/>
      </c>
      <c r="AA24">
        <f>HYPERLINK("https://klasma.github.io/Logging_0764/klagomål/A 32789-2026 FSC-klagomål.docx", "A 32789-2026")</f>
        <v/>
      </c>
      <c r="AB24">
        <f>HYPERLINK("https://klasma.github.io/Logging_0764/klagomålsmail/A 32789-2026 FSC-klagomål mail.docx", "A 32789-2026")</f>
        <v/>
      </c>
      <c r="AC24">
        <f>HYPERLINK("https://klasma.github.io/Logging_0764/tillsyn/A 32789-2026 tillsynsbegäran.docx", "A 32789-2026")</f>
        <v/>
      </c>
      <c r="AD24">
        <f>HYPERLINK("https://klasma.github.io/Logging_0764/tillsynsmail/A 32789-2026 tillsynsbegäran mail.docx", "A 32789-2026")</f>
        <v/>
      </c>
    </row>
    <row r="25" ht="15" customHeight="1">
      <c r="A25" t="inlineStr">
        <is>
          <t>A 35257-2026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46261</v>
      </c>
      <c r="E25" s="1" t="n">
        <v>46319</v>
      </c>
      <c r="F25" t="inlineStr">
        <is>
          <t>KRONOBERGS LÄN</t>
        </is>
      </c>
      <c r="G25" t="inlineStr">
        <is>
          <t>ALVESTA</t>
        </is>
      </c>
      <c r="I25" t="n">
        <v>3.5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Sotvaxskivling
Västlig hakmossa</t>
        </is>
      </c>
      <c r="W25">
        <f>HYPERLINK("https://klasma.github.io/Logging_0764/artfynd/A 35257-2026 artfynd.xlsx", "A 35257-2026")</f>
        <v/>
      </c>
      <c r="X25">
        <f>HYPERLINK("https://klasma.github.io/Logging_0764/kartor/A 35257-2026 karta.png", "A 35257-2026")</f>
        <v/>
      </c>
      <c r="Y25">
        <f>HYPERLINK("https://klasma.github.io/Logging_0764/kartor_geotiff/A 35257-2026 georefererad karta.tif", "A 35257-2026")</f>
        <v/>
      </c>
      <c r="AA25">
        <f>HYPERLINK("https://klasma.github.io/Logging_0764/klagomål/A 35257-2026 FSC-klagomål.docx", "A 35257-2026")</f>
        <v/>
      </c>
      <c r="AB25">
        <f>HYPERLINK("https://klasma.github.io/Logging_0764/klagomålsmail/A 35257-2026 FSC-klagomål mail.docx", "A 35257-2026")</f>
        <v/>
      </c>
      <c r="AC25">
        <f>HYPERLINK("https://klasma.github.io/Logging_0764/tillsyn/A 35257-2026 tillsynsbegäran.docx", "A 35257-2026")</f>
        <v/>
      </c>
      <c r="AD25">
        <f>HYPERLINK("https://klasma.github.io/Logging_0764/tillsynsmail/A 35257-2026 tillsynsbegäran mail.docx", "A 35257-2026")</f>
        <v/>
      </c>
    </row>
    <row r="26" ht="15" customHeight="1">
      <c r="A26" t="inlineStr">
        <is>
          <t>A 18486-2025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46319</v>
      </c>
      <c r="F26" t="inlineStr">
        <is>
          <t>KRONOBERGS LÄN</t>
        </is>
      </c>
      <c r="G26" t="inlineStr">
        <is>
          <t>ALVESTA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Brunpudrad nållav
Spillkråka</t>
        </is>
      </c>
      <c r="W26">
        <f>HYPERLINK("https://klasma.github.io/Logging_0764/artfynd/A 18486-2025 artfynd.xlsx", "A 18486-2025")</f>
        <v/>
      </c>
      <c r="X26">
        <f>HYPERLINK("https://klasma.github.io/Logging_0764/kartor/A 18486-2025 karta.png", "A 18486-2025")</f>
        <v/>
      </c>
      <c r="Y26">
        <f>HYPERLINK("https://klasma.github.io/Logging_0764/kartor_geotiff/A 18486-2025 georefererad karta.tif", "A 18486-2025")</f>
        <v/>
      </c>
      <c r="AA26">
        <f>HYPERLINK("https://klasma.github.io/Logging_0764/klagomål/A 18486-2025 FSC-klagomål.docx", "A 18486-2025")</f>
        <v/>
      </c>
      <c r="AB26">
        <f>HYPERLINK("https://klasma.github.io/Logging_0764/klagomålsmail/A 18486-2025 FSC-klagomål mail.docx", "A 18486-2025")</f>
        <v/>
      </c>
      <c r="AC26">
        <f>HYPERLINK("https://klasma.github.io/Logging_0764/tillsyn/A 18486-2025 tillsynsbegäran.docx", "A 18486-2025")</f>
        <v/>
      </c>
      <c r="AD26">
        <f>HYPERLINK("https://klasma.github.io/Logging_0764/tillsynsmail/A 18486-2025 tillsynsbegäran mail.docx", "A 18486-2025")</f>
        <v/>
      </c>
      <c r="AE26">
        <f>HYPERLINK("https://klasma.github.io/Logging_0764/fåglar/A 18486-2025 prioriterade fågelarter.docx", "A 18486-2025")</f>
        <v/>
      </c>
    </row>
    <row r="27" ht="15" customHeight="1">
      <c r="A27" t="inlineStr">
        <is>
          <t>A 9407-2024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46319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Småvaxing
Toppvaxing</t>
        </is>
      </c>
      <c r="W27">
        <f>HYPERLINK("https://klasma.github.io/Logging_0764/artfynd/A 9407-2024 artfynd.xlsx", "A 9407-2024")</f>
        <v/>
      </c>
      <c r="X27">
        <f>HYPERLINK("https://klasma.github.io/Logging_0764/kartor/A 9407-2024 karta.png", "A 9407-2024")</f>
        <v/>
      </c>
      <c r="Y27">
        <f>HYPERLINK("https://klasma.github.io/Logging_0764/kartor_geotiff/A 9407-2024 georefererad karta.tif", "A 9407-2024")</f>
        <v/>
      </c>
      <c r="AA27">
        <f>HYPERLINK("https://klasma.github.io/Logging_0764/klagomål/A 9407-2024 FSC-klagomål.docx", "A 9407-2024")</f>
        <v/>
      </c>
      <c r="AB27">
        <f>HYPERLINK("https://klasma.github.io/Logging_0764/klagomålsmail/A 9407-2024 FSC-klagomål mail.docx", "A 9407-2024")</f>
        <v/>
      </c>
      <c r="AC27">
        <f>HYPERLINK("https://klasma.github.io/Logging_0764/tillsyn/A 9407-2024 tillsynsbegäran.docx", "A 9407-2024")</f>
        <v/>
      </c>
      <c r="AD27">
        <f>HYPERLINK("https://klasma.github.io/Logging_0764/tillsynsmail/A 9407-2024 tillsynsbegäran mail.docx", "A 9407-2024")</f>
        <v/>
      </c>
    </row>
    <row r="28" ht="15" customHeight="1">
      <c r="A28" t="inlineStr">
        <is>
          <t>A 59362-2024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45638</v>
      </c>
      <c r="E28" s="1" t="n">
        <v>46319</v>
      </c>
      <c r="F28" t="inlineStr">
        <is>
          <t>KRONOBERGS LÄN</t>
        </is>
      </c>
      <c r="G28" t="inlineStr">
        <is>
          <t>ALVESTA</t>
        </is>
      </c>
      <c r="I28" t="n">
        <v>0.6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Brandticka
Västlig hakmossa</t>
        </is>
      </c>
      <c r="W28">
        <f>HYPERLINK("https://klasma.github.io/Logging_0764/artfynd/A 59362-2024 artfynd.xlsx", "A 59362-2024")</f>
        <v/>
      </c>
      <c r="X28">
        <f>HYPERLINK("https://klasma.github.io/Logging_0764/kartor/A 59362-2024 karta.png", "A 59362-2024")</f>
        <v/>
      </c>
      <c r="Y28">
        <f>HYPERLINK("https://klasma.github.io/Logging_0764/kartor_geotiff/A 59362-2024 georefererad karta.tif", "A 59362-2024")</f>
        <v/>
      </c>
      <c r="AA28">
        <f>HYPERLINK("https://klasma.github.io/Logging_0764/klagomål/A 59362-2024 FSC-klagomål.docx", "A 59362-2024")</f>
        <v/>
      </c>
      <c r="AB28">
        <f>HYPERLINK("https://klasma.github.io/Logging_0764/klagomålsmail/A 59362-2024 FSC-klagomål mail.docx", "A 59362-2024")</f>
        <v/>
      </c>
      <c r="AC28">
        <f>HYPERLINK("https://klasma.github.io/Logging_0764/tillsyn/A 59362-2024 tillsynsbegäran.docx", "A 59362-2024")</f>
        <v/>
      </c>
      <c r="AD28">
        <f>HYPERLINK("https://klasma.github.io/Logging_0764/tillsynsmail/A 59362-2024 tillsynsbegäran mail.docx", "A 59362-2024")</f>
        <v/>
      </c>
    </row>
    <row r="29" ht="15" customHeight="1">
      <c r="A29" t="inlineStr">
        <is>
          <t>A 6812-2024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45342</v>
      </c>
      <c r="E29" s="1" t="n">
        <v>46319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Spillkråka
Trana</t>
        </is>
      </c>
      <c r="W29">
        <f>HYPERLINK("https://klasma.github.io/Logging_0764/artfynd/A 6812-2024 artfynd.xlsx", "A 6812-2024")</f>
        <v/>
      </c>
      <c r="X29">
        <f>HYPERLINK("https://klasma.github.io/Logging_0764/kartor/A 6812-2024 karta.png", "A 6812-2024")</f>
        <v/>
      </c>
      <c r="Y29">
        <f>HYPERLINK("https://klasma.github.io/Logging_0764/kartor_geotiff/A 6812-2024 georefererad karta.tif", "A 6812-2024")</f>
        <v/>
      </c>
      <c r="AA29">
        <f>HYPERLINK("https://klasma.github.io/Logging_0764/klagomål/A 6812-2024 FSC-klagomål.docx", "A 6812-2024")</f>
        <v/>
      </c>
      <c r="AB29">
        <f>HYPERLINK("https://klasma.github.io/Logging_0764/klagomålsmail/A 6812-2024 FSC-klagomål mail.docx", "A 6812-2024")</f>
        <v/>
      </c>
      <c r="AC29">
        <f>HYPERLINK("https://klasma.github.io/Logging_0764/tillsyn/A 6812-2024 tillsynsbegäran.docx", "A 6812-2024")</f>
        <v/>
      </c>
      <c r="AD29">
        <f>HYPERLINK("https://klasma.github.io/Logging_0764/tillsynsmail/A 6812-2024 tillsynsbegäran mail.docx", "A 6812-2024")</f>
        <v/>
      </c>
      <c r="AE29">
        <f>HYPERLINK("https://klasma.github.io/Logging_0764/fåglar/A 6812-2024 prioriterade fågelarter.docx", "A 6812-2024")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46319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46319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46319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46319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46319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46319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46319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46319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18676-2023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45043</v>
      </c>
      <c r="E38" s="1" t="n">
        <v>46319</v>
      </c>
      <c r="F38" t="inlineStr">
        <is>
          <t>KRONOBERGS LÄN</t>
        </is>
      </c>
      <c r="G38" t="inlineStr">
        <is>
          <t>ALVESTA</t>
        </is>
      </c>
      <c r="I38" t="n">
        <v>1.4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Blomkålssvamp</t>
        </is>
      </c>
      <c r="W38">
        <f>HYPERLINK("https://klasma.github.io/Logging_0764/artfynd/A 18676-2023 artfynd.xlsx", "A 18676-2023")</f>
        <v/>
      </c>
      <c r="X38">
        <f>HYPERLINK("https://klasma.github.io/Logging_0764/kartor/A 18676-2023 karta.png", "A 18676-2023")</f>
        <v/>
      </c>
      <c r="Y38">
        <f>HYPERLINK("https://klasma.github.io/Logging_0764/kartor_geotiff/A 18676-2023 georefererad karta.tif", "A 18676-2023")</f>
        <v/>
      </c>
      <c r="AA38">
        <f>HYPERLINK("https://klasma.github.io/Logging_0764/klagomål/A 18676-2023 FSC-klagomål.docx", "A 18676-2023")</f>
        <v/>
      </c>
      <c r="AB38">
        <f>HYPERLINK("https://klasma.github.io/Logging_0764/klagomålsmail/A 18676-2023 FSC-klagomål mail.docx", "A 18676-2023")</f>
        <v/>
      </c>
      <c r="AC38">
        <f>HYPERLINK("https://klasma.github.io/Logging_0764/tillsyn/A 18676-2023 tillsynsbegäran.docx", "A 18676-2023")</f>
        <v/>
      </c>
      <c r="AD38">
        <f>HYPERLINK("https://klasma.github.io/Logging_0764/tillsynsmail/A 18676-2023 tillsynsbegäran mail.docx", "A 18676-2023")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46319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46319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11669-2024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46319</v>
      </c>
      <c r="F41" t="inlineStr">
        <is>
          <t>KRONOBERGS LÄN</t>
        </is>
      </c>
      <c r="G41" t="inlineStr">
        <is>
          <t>ALVESTA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Skuggmossa</t>
        </is>
      </c>
      <c r="W41">
        <f>HYPERLINK("https://klasma.github.io/Logging_0764/artfynd/A 11669-2024 artfynd.xlsx", "A 11669-2024")</f>
        <v/>
      </c>
      <c r="X41">
        <f>HYPERLINK("https://klasma.github.io/Logging_0764/kartor/A 11669-2024 karta.png", "A 11669-2024")</f>
        <v/>
      </c>
      <c r="Y41">
        <f>HYPERLINK("https://klasma.github.io/Logging_0764/kartor_geotiff/A 11669-2024 georefererad karta.tif", "A 11669-2024")</f>
        <v/>
      </c>
      <c r="AA41">
        <f>HYPERLINK("https://klasma.github.io/Logging_0764/klagomål/A 11669-2024 FSC-klagomål.docx", "A 11669-2024")</f>
        <v/>
      </c>
      <c r="AB41">
        <f>HYPERLINK("https://klasma.github.io/Logging_0764/klagomålsmail/A 11669-2024 FSC-klagomål mail.docx", "A 11669-2024")</f>
        <v/>
      </c>
      <c r="AC41">
        <f>HYPERLINK("https://klasma.github.io/Logging_0764/tillsyn/A 11669-2024 tillsynsbegäran.docx", "A 11669-2024")</f>
        <v/>
      </c>
      <c r="AD41">
        <f>HYPERLINK("https://klasma.github.io/Logging_0764/tillsynsmail/A 11669-2024 tillsynsbegäran mail.docx", "A 11669-2024")</f>
        <v/>
      </c>
    </row>
    <row r="42" ht="15" customHeight="1">
      <c r="A42" t="inlineStr">
        <is>
          <t>A 12221-2024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46319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Brandticka</t>
        </is>
      </c>
      <c r="W42">
        <f>HYPERLINK("https://klasma.github.io/Logging_0764/artfynd/A 12221-2024 artfynd.xlsx", "A 12221-2024")</f>
        <v/>
      </c>
      <c r="X42">
        <f>HYPERLINK("https://klasma.github.io/Logging_0764/kartor/A 12221-2024 karta.png", "A 12221-2024")</f>
        <v/>
      </c>
      <c r="Y42">
        <f>HYPERLINK("https://klasma.github.io/Logging_0764/kartor_geotiff/A 12221-2024 georefererad karta.tif", "A 12221-2024")</f>
        <v/>
      </c>
      <c r="AA42">
        <f>HYPERLINK("https://klasma.github.io/Logging_0764/klagomål/A 12221-2024 FSC-klagomål.docx", "A 12221-2024")</f>
        <v/>
      </c>
      <c r="AB42">
        <f>HYPERLINK("https://klasma.github.io/Logging_0764/klagomålsmail/A 12221-2024 FSC-klagomål mail.docx", "A 12221-2024")</f>
        <v/>
      </c>
      <c r="AC42">
        <f>HYPERLINK("https://klasma.github.io/Logging_0764/tillsyn/A 12221-2024 tillsynsbegäran.docx", "A 12221-2024")</f>
        <v/>
      </c>
      <c r="AD42">
        <f>HYPERLINK("https://klasma.github.io/Logging_0764/tillsynsmail/A 12221-2024 tillsynsbegäran mail.docx", "A 12221-2024")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46319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46319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44406-2024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46319</v>
      </c>
      <c r="F45" t="inlineStr">
        <is>
          <t>KRONOBERGS LÄN</t>
        </is>
      </c>
      <c r="G45" t="inlineStr">
        <is>
          <t>ALVESTA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HYPERLINK("https://klasma.github.io/Logging_0764/artfynd/A 44406-2024 artfynd.xlsx", "A 44406-2024")</f>
        <v/>
      </c>
      <c r="X45">
        <f>HYPERLINK("https://klasma.github.io/Logging_0764/kartor/A 44406-2024 karta.png", "A 44406-2024")</f>
        <v/>
      </c>
      <c r="Y45">
        <f>HYPERLINK("https://klasma.github.io/Logging_0764/kartor_geotiff/A 44406-2024 georefererad karta.tif", "A 44406-2024")</f>
        <v/>
      </c>
      <c r="AA45">
        <f>HYPERLINK("https://klasma.github.io/Logging_0764/klagomål/A 44406-2024 FSC-klagomål.docx", "A 44406-2024")</f>
        <v/>
      </c>
      <c r="AB45">
        <f>HYPERLINK("https://klasma.github.io/Logging_0764/klagomålsmail/A 44406-2024 FSC-klagomål mail.docx", "A 44406-2024")</f>
        <v/>
      </c>
      <c r="AC45">
        <f>HYPERLINK("https://klasma.github.io/Logging_0764/tillsyn/A 44406-2024 tillsynsbegäran.docx", "A 44406-2024")</f>
        <v/>
      </c>
      <c r="AD45">
        <f>HYPERLINK("https://klasma.github.io/Logging_0764/tillsynsmail/A 44406-2024 tillsynsbegäran mail.docx", "A 44406-2024")</f>
        <v/>
      </c>
    </row>
    <row r="46" ht="15" customHeight="1">
      <c r="A46" t="inlineStr">
        <is>
          <t>A 55368-2025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46319</v>
      </c>
      <c r="F46" t="inlineStr">
        <is>
          <t>KRONOBERGS LÄN</t>
        </is>
      </c>
      <c r="G46" t="inlineStr">
        <is>
          <t>ALVESTA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HYPERLINK("https://klasma.github.io/Logging_0764/artfynd/A 55368-2025 artfynd.xlsx", "A 55368-2025")</f>
        <v/>
      </c>
      <c r="X46">
        <f>HYPERLINK("https://klasma.github.io/Logging_0764/kartor/A 55368-2025 karta.png", "A 55368-2025")</f>
        <v/>
      </c>
      <c r="Y46">
        <f>HYPERLINK("https://klasma.github.io/Logging_0764/kartor_geotiff/A 55368-2025 georefererad karta.tif", "A 55368-2025")</f>
        <v/>
      </c>
      <c r="AA46">
        <f>HYPERLINK("https://klasma.github.io/Logging_0764/klagomål/A 55368-2025 FSC-klagomål.docx", "A 55368-2025")</f>
        <v/>
      </c>
      <c r="AB46">
        <f>HYPERLINK("https://klasma.github.io/Logging_0764/klagomålsmail/A 55368-2025 FSC-klagomål mail.docx", "A 55368-2025")</f>
        <v/>
      </c>
      <c r="AC46">
        <f>HYPERLINK("https://klasma.github.io/Logging_0764/tillsyn/A 55368-2025 tillsynsbegäran.docx", "A 55368-2025")</f>
        <v/>
      </c>
      <c r="AD46">
        <f>HYPERLINK("https://klasma.github.io/Logging_0764/tillsynsmail/A 55368-2025 tillsynsbegäran mail.docx", "A 55368-2025")</f>
        <v/>
      </c>
    </row>
    <row r="47" ht="15" customHeight="1">
      <c r="A47" t="inlineStr">
        <is>
          <t>A 47338-2022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46319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HYPERLINK("https://klasma.github.io/Logging_0764/artfynd/A 47338-2022 artfynd.xlsx", "A 47338-2022")</f>
        <v/>
      </c>
      <c r="X47">
        <f>HYPERLINK("https://klasma.github.io/Logging_0764/kartor/A 47338-2022 karta.png", "A 47338-2022")</f>
        <v/>
      </c>
      <c r="Y47">
        <f>HYPERLINK("https://klasma.github.io/Logging_0764/kartor_geotiff/A 47338-2022 georefererad karta.tif", "A 47338-2022")</f>
        <v/>
      </c>
      <c r="AA47">
        <f>HYPERLINK("https://klasma.github.io/Logging_0764/klagomål/A 47338-2022 FSC-klagomål.docx", "A 47338-2022")</f>
        <v/>
      </c>
      <c r="AB47">
        <f>HYPERLINK("https://klasma.github.io/Logging_0764/klagomålsmail/A 47338-2022 FSC-klagomål mail.docx", "A 47338-2022")</f>
        <v/>
      </c>
      <c r="AC47">
        <f>HYPERLINK("https://klasma.github.io/Logging_0764/tillsyn/A 47338-2022 tillsynsbegäran.docx", "A 47338-2022")</f>
        <v/>
      </c>
      <c r="AD47">
        <f>HYPERLINK("https://klasma.github.io/Logging_0764/tillsynsmail/A 47338-2022 tillsynsbegäran mail.docx", "A 47338-2022")</f>
        <v/>
      </c>
      <c r="AE47">
        <f>HYPERLINK("https://klasma.github.io/Logging_0764/fåglar/A 47338-2022 prioriterade fågelarter.docx", "A 47338-2022")</f>
        <v/>
      </c>
    </row>
    <row r="48" ht="15" customHeight="1">
      <c r="A48" t="inlineStr">
        <is>
          <t>A 35279-2022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44798</v>
      </c>
      <c r="E48" s="1" t="n">
        <v>46319</v>
      </c>
      <c r="F48" t="inlineStr">
        <is>
          <t>KRONOBERGS LÄN</t>
        </is>
      </c>
      <c r="G48" t="inlineStr">
        <is>
          <t>ALVESTA</t>
        </is>
      </c>
      <c r="H48" t="inlineStr">
        <is>
          <t>Kyrkan</t>
        </is>
      </c>
      <c r="I48" t="n">
        <v>3.8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2</v>
      </c>
      <c r="V48" s="2" t="inlineStr">
        <is>
          <t>Knärot</t>
        </is>
      </c>
      <c r="W48">
        <f>HYPERLINK("https://klasma.github.io/Logging_0764/artfynd/A 35279-2022 artfynd.xlsx", "A 35279-2022")</f>
        <v/>
      </c>
      <c r="X48">
        <f>HYPERLINK("https://klasma.github.io/Logging_0764/kartor/A 35279-2022 karta.png", "A 35279-2022")</f>
        <v/>
      </c>
      <c r="Y48">
        <f>HYPERLINK("https://klasma.github.io/Logging_0764/kartor_geotiff/A 35279-2022 georefererad karta.tif", "A 35279-2022")</f>
        <v/>
      </c>
      <c r="Z48">
        <f>HYPERLINK("https://klasma.github.io/Logging_0764/knärot/A 35279-2022 karta knärot.png", "A 35279-2022")</f>
        <v/>
      </c>
      <c r="AA48">
        <f>HYPERLINK("https://klasma.github.io/Logging_0764/klagomål/A 35279-2022 FSC-klagomål.docx", "A 35279-2022")</f>
        <v/>
      </c>
      <c r="AB48">
        <f>HYPERLINK("https://klasma.github.io/Logging_0764/klagomålsmail/A 35279-2022 FSC-klagomål mail.docx", "A 35279-2022")</f>
        <v/>
      </c>
      <c r="AC48">
        <f>HYPERLINK("https://klasma.github.io/Logging_0764/tillsyn/A 35279-2022 tillsynsbegäran.docx", "A 35279-2022")</f>
        <v/>
      </c>
      <c r="AD48">
        <f>HYPERLINK("https://klasma.github.io/Logging_0764/tillsynsmail/A 35279-2022 tillsynsbegäran mail.docx", "A 35279-2022")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46319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38890-2024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46319</v>
      </c>
      <c r="F50" t="inlineStr">
        <is>
          <t>KRONOBERGS LÄN</t>
        </is>
      </c>
      <c r="G50" t="inlineStr">
        <is>
          <t>ALVESTA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0</v>
      </c>
      <c r="V50" s="2" t="inlineStr">
        <is>
          <t>Hårklomossa</t>
        </is>
      </c>
      <c r="W50">
        <f>HYPERLINK("https://klasma.github.io/Logging_0764/artfynd/A 38890-2024 artfynd.xlsx", "A 38890-2024")</f>
        <v/>
      </c>
      <c r="X50">
        <f>HYPERLINK("https://klasma.github.io/Logging_0764/kartor/A 38890-2024 karta.png", "A 38890-2024")</f>
        <v/>
      </c>
      <c r="Y50">
        <f>HYPERLINK("https://klasma.github.io/Logging_0764/kartor_geotiff/A 38890-2024 georefererad karta.tif", "A 38890-2024")</f>
        <v/>
      </c>
      <c r="AA50">
        <f>HYPERLINK("https://klasma.github.io/Logging_0764/klagomål/A 38890-2024 FSC-klagomål.docx", "A 38890-2024")</f>
        <v/>
      </c>
      <c r="AB50">
        <f>HYPERLINK("https://klasma.github.io/Logging_0764/klagomålsmail/A 38890-2024 FSC-klagomål mail.docx", "A 38890-2024")</f>
        <v/>
      </c>
      <c r="AC50">
        <f>HYPERLINK("https://klasma.github.io/Logging_0764/tillsyn/A 38890-2024 tillsynsbegäran.docx", "A 38890-2024")</f>
        <v/>
      </c>
      <c r="AD50">
        <f>HYPERLINK("https://klasma.github.io/Logging_0764/tillsynsmail/A 38890-2024 tillsynsbegäran mail.docx", "A 38890-2024")</f>
        <v/>
      </c>
    </row>
    <row r="51" ht="15" customHeight="1">
      <c r="A51" t="inlineStr">
        <is>
          <t>S 395-2023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44959</v>
      </c>
      <c r="E51" s="1" t="n">
        <v>46319</v>
      </c>
      <c r="F51" t="inlineStr">
        <is>
          <t>KRONOBERGS LÄN</t>
        </is>
      </c>
      <c r="G51" t="inlineStr">
        <is>
          <t>ALVESTA</t>
        </is>
      </c>
      <c r="I51" t="n">
        <v>73.3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1</v>
      </c>
      <c r="V51" s="2" t="inlineStr">
        <is>
          <t>Bohuslind</t>
        </is>
      </c>
      <c r="W51">
        <f>HYPERLINK("https://klasma.github.io/Logging_0764/artfynd/S 395-2023 artfynd.xlsx", "S 395-2023")</f>
        <v/>
      </c>
      <c r="X51">
        <f>HYPERLINK("https://klasma.github.io/Logging_0764/kartor/S 395-2023 karta.png", "S 395-2023")</f>
        <v/>
      </c>
      <c r="Y51">
        <f>HYPERLINK("https://klasma.github.io/Logging_0764/kartor_geotiff/S 395-2023 georefererad karta.tif", "S 395-2023")</f>
        <v/>
      </c>
      <c r="AA51">
        <f>HYPERLINK("https://klasma.github.io/Logging_0764/klagomål/S 395-2023 FSC-klagomål.docx", "S 395-2023")</f>
        <v/>
      </c>
      <c r="AB51">
        <f>HYPERLINK("https://klasma.github.io/Logging_0764/klagomålsmail/S 395-2023 FSC-klagomål mail.docx", "S 395-2023")</f>
        <v/>
      </c>
      <c r="AC51">
        <f>HYPERLINK("https://klasma.github.io/Logging_0764/tillsyn/S 395-2023 tillsynsbegäran.docx", "S 395-2023")</f>
        <v/>
      </c>
      <c r="AD51">
        <f>HYPERLINK("https://klasma.github.io/Logging_0764/tillsynsmail/S 395-2023 tillsynsbegäran mail.docx", "S 395-2023")</f>
        <v/>
      </c>
    </row>
    <row r="52" ht="15" customHeight="1">
      <c r="A52" t="inlineStr">
        <is>
          <t>S 3557-2023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45210</v>
      </c>
      <c r="E52" s="1" t="n">
        <v>46319</v>
      </c>
      <c r="F52" t="inlineStr">
        <is>
          <t>KRONOBERGS LÄN</t>
        </is>
      </c>
      <c r="G52" t="inlineStr">
        <is>
          <t>ALVESTA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1</v>
      </c>
      <c r="V52" s="2" t="inlineStr">
        <is>
          <t>Blåsippa</t>
        </is>
      </c>
      <c r="W52">
        <f>HYPERLINK("https://klasma.github.io/Logging_0764/artfynd/S 3557-2023 artfynd.xlsx", "S 3557-2023")</f>
        <v/>
      </c>
      <c r="X52">
        <f>HYPERLINK("https://klasma.github.io/Logging_0764/kartor/S 3557-2023 karta.png", "S 3557-2023")</f>
        <v/>
      </c>
      <c r="Y52">
        <f>HYPERLINK("https://klasma.github.io/Logging_0764/kartor_geotiff/S 3557-2023 georefererad karta.tif", "S 3557-2023")</f>
        <v/>
      </c>
      <c r="AA52">
        <f>HYPERLINK("https://klasma.github.io/Logging_0764/klagomål/S 3557-2023 FSC-klagomål.docx", "S 3557-2023")</f>
        <v/>
      </c>
      <c r="AB52">
        <f>HYPERLINK("https://klasma.github.io/Logging_0764/klagomålsmail/S 3557-2023 FSC-klagomål mail.docx", "S 3557-2023")</f>
        <v/>
      </c>
      <c r="AC52">
        <f>HYPERLINK("https://klasma.github.io/Logging_0764/tillsyn/S 3557-2023 tillsynsbegäran.docx", "S 3557-2023")</f>
        <v/>
      </c>
      <c r="AD52">
        <f>HYPERLINK("https://klasma.github.io/Logging_0764/tillsynsmail/S 3557-2023 tillsynsbegäran mail.docx", "S 3557-2023")</f>
        <v/>
      </c>
    </row>
    <row r="53" ht="15" customHeight="1">
      <c r="A53" t="inlineStr">
        <is>
          <t>S 3374-2023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45198</v>
      </c>
      <c r="E53" s="1" t="n">
        <v>46319</v>
      </c>
      <c r="F53" t="inlineStr">
        <is>
          <t>KRONOBERGS LÄN</t>
        </is>
      </c>
      <c r="G53" t="inlineStr">
        <is>
          <t>ALVESTA</t>
        </is>
      </c>
      <c r="I53" t="n">
        <v>111.8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Fällmossa</t>
        </is>
      </c>
      <c r="W53">
        <f>HYPERLINK("https://klasma.github.io/Logging_0764/artfynd/S 3374-2023 artfynd.xlsx", "S 3374-2023")</f>
        <v/>
      </c>
      <c r="X53">
        <f>HYPERLINK("https://klasma.github.io/Logging_0764/kartor/S 3374-2023 karta.png", "S 3374-2023")</f>
        <v/>
      </c>
      <c r="Y53">
        <f>HYPERLINK("https://klasma.github.io/Logging_0764/kartor_geotiff/S 3374-2023 georefererad karta.tif", "S 3374-2023")</f>
        <v/>
      </c>
      <c r="AA53">
        <f>HYPERLINK("https://klasma.github.io/Logging_0764/klagomål/S 3374-2023 FSC-klagomål.docx", "S 3374-2023")</f>
        <v/>
      </c>
      <c r="AB53">
        <f>HYPERLINK("https://klasma.github.io/Logging_0764/klagomålsmail/S 3374-2023 FSC-klagomål mail.docx", "S 3374-2023")</f>
        <v/>
      </c>
      <c r="AC53">
        <f>HYPERLINK("https://klasma.github.io/Logging_0764/tillsyn/S 3374-2023 tillsynsbegäran.docx", "S 3374-2023")</f>
        <v/>
      </c>
      <c r="AD53">
        <f>HYPERLINK("https://klasma.github.io/Logging_0764/tillsynsmail/S 3374-2023 tillsynsbegäran mail.docx", "S 3374-2023")</f>
        <v/>
      </c>
    </row>
    <row r="54" ht="15" customHeight="1">
      <c r="A54" t="inlineStr">
        <is>
          <t>S 2314-2026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46269</v>
      </c>
      <c r="E54" s="1" t="n">
        <v>46319</v>
      </c>
      <c r="F54" t="inlineStr">
        <is>
          <t>KRONOBERGS LÄN</t>
        </is>
      </c>
      <c r="G54" t="inlineStr">
        <is>
          <t>ALVESTA</t>
        </is>
      </c>
      <c r="I54" t="n">
        <v>2.3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Ängsstarr</t>
        </is>
      </c>
      <c r="W54">
        <f>HYPERLINK("https://klasma.github.io/Logging_0764/artfynd/S 2314-2026 artfynd.xlsx", "S 2314-2026")</f>
        <v/>
      </c>
      <c r="X54">
        <f>HYPERLINK("https://klasma.github.io/Logging_0764/kartor/S 2314-2026 karta.png", "S 2314-2026")</f>
        <v/>
      </c>
      <c r="Y54">
        <f>HYPERLINK("https://klasma.github.io/Logging_0764/kartor_geotiff/S 2314-2026 georefererad karta.tif", "S 2314-2026")</f>
        <v/>
      </c>
      <c r="AA54">
        <f>HYPERLINK("https://klasma.github.io/Logging_0764/klagomål/S 2314-2026 FSC-klagomål.docx", "S 2314-2026")</f>
        <v/>
      </c>
      <c r="AB54">
        <f>HYPERLINK("https://klasma.github.io/Logging_0764/klagomålsmail/S 2314-2026 FSC-klagomål mail.docx", "S 2314-2026")</f>
        <v/>
      </c>
      <c r="AC54">
        <f>HYPERLINK("https://klasma.github.io/Logging_0764/tillsyn/S 2314-2026 tillsynsbegäran.docx", "S 2314-2026")</f>
        <v/>
      </c>
      <c r="AD54">
        <f>HYPERLINK("https://klasma.github.io/Logging_0764/tillsynsmail/S 2314-2026 tillsynsbegäran mail.docx", "S 2314-2026")</f>
        <v/>
      </c>
    </row>
    <row r="55" ht="15" customHeight="1">
      <c r="A55" t="inlineStr">
        <is>
          <t>A 36764-2022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46319</v>
      </c>
      <c r="F55" t="inlineStr">
        <is>
          <t>KRONOBERGS LÄN</t>
        </is>
      </c>
      <c r="G55" t="inlineStr">
        <is>
          <t>ALVESTA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46319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46319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37696-2022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46319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64777-2021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46319</v>
      </c>
      <c r="F59" t="inlineStr">
        <is>
          <t>KRONOBERGS LÄN</t>
        </is>
      </c>
      <c r="G59" t="inlineStr">
        <is>
          <t>ALVESTA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46319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46319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46319</v>
      </c>
      <c r="F62" t="inlineStr">
        <is>
          <t>KRONOBERGS LÄN</t>
        </is>
      </c>
      <c r="G62" t="inlineStr">
        <is>
          <t>ALVESTA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46319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46319</v>
      </c>
      <c r="F64" t="inlineStr">
        <is>
          <t>KRONOBERGS LÄN</t>
        </is>
      </c>
      <c r="G64" t="inlineStr">
        <is>
          <t>ALVESTA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9089-2022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46319</v>
      </c>
      <c r="F65" t="inlineStr">
        <is>
          <t>KRONOBERGS LÄN</t>
        </is>
      </c>
      <c r="G65" t="inlineStr">
        <is>
          <t>ALVESTA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60870-2021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46319</v>
      </c>
      <c r="F66" t="inlineStr">
        <is>
          <t>KRONOBERGS LÄN</t>
        </is>
      </c>
      <c r="G66" t="inlineStr">
        <is>
          <t>ALVESTA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44586</v>
      </c>
      <c r="E67" s="1" t="n">
        <v>46319</v>
      </c>
      <c r="F67" t="inlineStr">
        <is>
          <t>KRONOBERGS LÄN</t>
        </is>
      </c>
      <c r="G67" t="inlineStr">
        <is>
          <t>ALVESTA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46319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46319</v>
      </c>
      <c r="F69" t="inlineStr">
        <is>
          <t>KRONOBERGS LÄN</t>
        </is>
      </c>
      <c r="G69" t="inlineStr">
        <is>
          <t>ALVESTA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46319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44593</v>
      </c>
      <c r="E71" s="1" t="n">
        <v>46319</v>
      </c>
      <c r="F71" t="inlineStr">
        <is>
          <t>KRONOBERGS LÄN</t>
        </is>
      </c>
      <c r="G71" t="inlineStr">
        <is>
          <t>ALVESTA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46319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40791-2022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44824</v>
      </c>
      <c r="E73" s="1" t="n">
        <v>46319</v>
      </c>
      <c r="F73" t="inlineStr">
        <is>
          <t>KRONOBERGS LÄN</t>
        </is>
      </c>
      <c r="G73" t="inlineStr">
        <is>
          <t>ALVESTA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46319</v>
      </c>
      <c r="F74" t="inlineStr">
        <is>
          <t>KRONOBERGS LÄN</t>
        </is>
      </c>
      <c r="G74" t="inlineStr">
        <is>
          <t>ALVESTA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8140-2022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46319</v>
      </c>
      <c r="F75" t="inlineStr">
        <is>
          <t>KRONOBERGS LÄN</t>
        </is>
      </c>
      <c r="G75" t="inlineStr">
        <is>
          <t>ALVESTA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46319</v>
      </c>
      <c r="F76" t="inlineStr">
        <is>
          <t>KRONOBERGS LÄN</t>
        </is>
      </c>
      <c r="G76" t="inlineStr">
        <is>
          <t>ALVESTA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46319</v>
      </c>
      <c r="F77" t="inlineStr">
        <is>
          <t>KRONOBERGS LÄN</t>
        </is>
      </c>
      <c r="G77" t="inlineStr">
        <is>
          <t>ALVESTA</t>
        </is>
      </c>
      <c r="H77" t="inlineStr">
        <is>
          <t>Kommuner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46319</v>
      </c>
      <c r="F78" t="inlineStr">
        <is>
          <t>KRONOBERGS LÄN</t>
        </is>
      </c>
      <c r="G78" t="inlineStr">
        <is>
          <t>ALVESTA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46319</v>
      </c>
      <c r="F79" t="inlineStr">
        <is>
          <t>KRONOBERGS LÄN</t>
        </is>
      </c>
      <c r="G79" t="inlineStr">
        <is>
          <t>ALVESTA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44734</v>
      </c>
      <c r="E80" s="1" t="n">
        <v>46319</v>
      </c>
      <c r="F80" t="inlineStr">
        <is>
          <t>KRONOBERGS LÄN</t>
        </is>
      </c>
      <c r="G80" t="inlineStr">
        <is>
          <t>ALVESTA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46319</v>
      </c>
      <c r="F81" t="inlineStr">
        <is>
          <t>KRONOBERGS LÄN</t>
        </is>
      </c>
      <c r="G81" t="inlineStr">
        <is>
          <t>ALVESTA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48561-2022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44859</v>
      </c>
      <c r="E82" s="1" t="n">
        <v>46319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43000-2022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44833</v>
      </c>
      <c r="E83" s="1" t="n">
        <v>46319</v>
      </c>
      <c r="F83" t="inlineStr">
        <is>
          <t>KRONOBERGS LÄN</t>
        </is>
      </c>
      <c r="G83" t="inlineStr">
        <is>
          <t>ALVESTA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44859</v>
      </c>
      <c r="E84" s="1" t="n">
        <v>46319</v>
      </c>
      <c r="F84" t="inlineStr">
        <is>
          <t>KRONOBERGS LÄN</t>
        </is>
      </c>
      <c r="G84" t="inlineStr">
        <is>
          <t>ALVESTA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46319</v>
      </c>
      <c r="F85" t="inlineStr">
        <is>
          <t>KRONOBERGS LÄN</t>
        </is>
      </c>
      <c r="G85" t="inlineStr">
        <is>
          <t>ALVESTA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65372-2021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46319</v>
      </c>
      <c r="F86" t="inlineStr">
        <is>
          <t>KRONOBERGS LÄN</t>
        </is>
      </c>
      <c r="G86" t="inlineStr">
        <is>
          <t>ALVESTA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46319</v>
      </c>
      <c r="F87" t="inlineStr">
        <is>
          <t>KRONOBERGS LÄN</t>
        </is>
      </c>
      <c r="G87" t="inlineStr">
        <is>
          <t>ALVESTA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46319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46319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70869-2021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44538</v>
      </c>
      <c r="E90" s="1" t="n">
        <v>46319</v>
      </c>
      <c r="F90" t="inlineStr">
        <is>
          <t>KRONOBERGS LÄN</t>
        </is>
      </c>
      <c r="G90" t="inlineStr">
        <is>
          <t>ALVESTA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44635</v>
      </c>
      <c r="E91" s="1" t="n">
        <v>46319</v>
      </c>
      <c r="F91" t="inlineStr">
        <is>
          <t>KRONOBERGS LÄN</t>
        </is>
      </c>
      <c r="G91" t="inlineStr">
        <is>
          <t>ALVESTA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46319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46319</v>
      </c>
      <c r="F93" t="inlineStr">
        <is>
          <t>KRONOBERGS LÄN</t>
        </is>
      </c>
      <c r="G93" t="inlineStr">
        <is>
          <t>ALVESTA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46319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46319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46319</v>
      </c>
      <c r="F96" t="inlineStr">
        <is>
          <t>KRONOBERGS LÄN</t>
        </is>
      </c>
      <c r="G96" t="inlineStr">
        <is>
          <t>ALVESTA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44706</v>
      </c>
      <c r="E97" s="1" t="n">
        <v>46319</v>
      </c>
      <c r="F97" t="inlineStr">
        <is>
          <t>KRONOBERGS LÄN</t>
        </is>
      </c>
      <c r="G97" t="inlineStr">
        <is>
          <t>ALVESTA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46319</v>
      </c>
      <c r="F98" t="inlineStr">
        <is>
          <t>KRONOBERGS LÄN</t>
        </is>
      </c>
      <c r="G98" t="inlineStr">
        <is>
          <t>ALVESTA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36509-2022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44804</v>
      </c>
      <c r="E99" s="1" t="n">
        <v>46319</v>
      </c>
      <c r="F99" t="inlineStr">
        <is>
          <t>KRONOBERGS LÄN</t>
        </is>
      </c>
      <c r="G99" t="inlineStr">
        <is>
          <t>ALVESTA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46319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46319</v>
      </c>
      <c r="F101" t="inlineStr">
        <is>
          <t>KRONOBERGS LÄN</t>
        </is>
      </c>
      <c r="G101" t="inlineStr">
        <is>
          <t>ALVESTA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44601</v>
      </c>
      <c r="E102" s="1" t="n">
        <v>46319</v>
      </c>
      <c r="F102" t="inlineStr">
        <is>
          <t>KRONOBERGS LÄN</t>
        </is>
      </c>
      <c r="G102" t="inlineStr">
        <is>
          <t>ALVESTA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54922-2024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46319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46319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27736-2022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44743</v>
      </c>
      <c r="E105" s="1" t="n">
        <v>46319</v>
      </c>
      <c r="F105" t="inlineStr">
        <is>
          <t>KRONOBERGS LÄN</t>
        </is>
      </c>
      <c r="G105" t="inlineStr">
        <is>
          <t>ALVESTA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46319</v>
      </c>
      <c r="F106" t="inlineStr">
        <is>
          <t>KRONOBERGS LÄN</t>
        </is>
      </c>
      <c r="G106" t="inlineStr">
        <is>
          <t>ALVESTA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46319</v>
      </c>
      <c r="F107" t="inlineStr">
        <is>
          <t>KRONOBERGS LÄN</t>
        </is>
      </c>
      <c r="G107" t="inlineStr">
        <is>
          <t>ALVESTA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46319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46319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72318-2021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44545</v>
      </c>
      <c r="E110" s="1" t="n">
        <v>46319</v>
      </c>
      <c r="F110" t="inlineStr">
        <is>
          <t>KRONOBERGS LÄN</t>
        </is>
      </c>
      <c r="G110" t="inlineStr">
        <is>
          <t>ALVESTA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45217</v>
      </c>
      <c r="E111" s="1" t="n">
        <v>46319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46319</v>
      </c>
      <c r="F112" t="inlineStr">
        <is>
          <t>KRONOBERGS LÄN</t>
        </is>
      </c>
      <c r="G112" t="inlineStr">
        <is>
          <t>ALVESTA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44948</v>
      </c>
      <c r="E113" s="1" t="n">
        <v>46319</v>
      </c>
      <c r="F113" t="inlineStr">
        <is>
          <t>KRONOBERGS LÄN</t>
        </is>
      </c>
      <c r="G113" t="inlineStr">
        <is>
          <t>ALVESTA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45512</v>
      </c>
      <c r="E114" s="1" t="n">
        <v>46319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44901</v>
      </c>
      <c r="E115" s="1" t="n">
        <v>46319</v>
      </c>
      <c r="F115" t="inlineStr">
        <is>
          <t>KRONOBERGS LÄN</t>
        </is>
      </c>
      <c r="G115" t="inlineStr">
        <is>
          <t>ALVESTA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45105</v>
      </c>
      <c r="E116" s="1" t="n">
        <v>46319</v>
      </c>
      <c r="F116" t="inlineStr">
        <is>
          <t>KRONOBERGS LÄN</t>
        </is>
      </c>
      <c r="G116" t="inlineStr">
        <is>
          <t>ALVESTA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46319</v>
      </c>
      <c r="F117" t="inlineStr">
        <is>
          <t>KRONOBERGS LÄN</t>
        </is>
      </c>
      <c r="G117" t="inlineStr">
        <is>
          <t>ALVESTA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12981-2024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45385</v>
      </c>
      <c r="E118" s="1" t="n">
        <v>46319</v>
      </c>
      <c r="F118" t="inlineStr">
        <is>
          <t>KRONOBERGS LÄN</t>
        </is>
      </c>
      <c r="G118" t="inlineStr">
        <is>
          <t>ALVESTA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46319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46319</v>
      </c>
      <c r="F120" t="inlineStr">
        <is>
          <t>KRONOBERGS LÄN</t>
        </is>
      </c>
      <c r="G120" t="inlineStr">
        <is>
          <t>ALVESTA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46319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46319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46319</v>
      </c>
      <c r="F123" t="inlineStr">
        <is>
          <t>KRONOBERGS LÄN</t>
        </is>
      </c>
      <c r="G123" t="inlineStr">
        <is>
          <t>ALVESTA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45904</v>
      </c>
      <c r="E124" s="1" t="n">
        <v>46319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46319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25297-2023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46319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46319</v>
      </c>
      <c r="F127" t="inlineStr">
        <is>
          <t>KRONOBERGS LÄN</t>
        </is>
      </c>
      <c r="G127" t="inlineStr">
        <is>
          <t>ALVESTA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46319</v>
      </c>
      <c r="F128" t="inlineStr">
        <is>
          <t>KRONOBERGS LÄN</t>
        </is>
      </c>
      <c r="G128" t="inlineStr">
        <is>
          <t>ALVESTA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46319</v>
      </c>
      <c r="F129" t="inlineStr">
        <is>
          <t>KRONOBERGS LÄN</t>
        </is>
      </c>
      <c r="G129" t="inlineStr">
        <is>
          <t>ALVESTA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45896</v>
      </c>
      <c r="E130" s="1" t="n">
        <v>46319</v>
      </c>
      <c r="F130" t="inlineStr">
        <is>
          <t>KRONOBERGS LÄN</t>
        </is>
      </c>
      <c r="G130" t="inlineStr">
        <is>
          <t>ALVESTA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57118-2023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45245</v>
      </c>
      <c r="E131" s="1" t="n">
        <v>46319</v>
      </c>
      <c r="F131" t="inlineStr">
        <is>
          <t>KRONOBERGS LÄN</t>
        </is>
      </c>
      <c r="G131" t="inlineStr">
        <is>
          <t>ALVESTA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46319</v>
      </c>
      <c r="F132" t="inlineStr">
        <is>
          <t>KRONOBERGS LÄN</t>
        </is>
      </c>
      <c r="G132" t="inlineStr">
        <is>
          <t>ALVESTA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46319</v>
      </c>
      <c r="F133" t="inlineStr">
        <is>
          <t>KRONOBERGS LÄN</t>
        </is>
      </c>
      <c r="G133" t="inlineStr">
        <is>
          <t>ALVESTA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44528-2025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45916</v>
      </c>
      <c r="E134" s="1" t="n">
        <v>46319</v>
      </c>
      <c r="F134" t="inlineStr">
        <is>
          <t>KRONOBERGS LÄN</t>
        </is>
      </c>
      <c r="G134" t="inlineStr">
        <is>
          <t>ALVESTA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37113-2023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45155</v>
      </c>
      <c r="E135" s="1" t="n">
        <v>46319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46319</v>
      </c>
      <c r="F136" t="inlineStr">
        <is>
          <t>KRONOBERGS LÄN</t>
        </is>
      </c>
      <c r="G136" t="inlineStr">
        <is>
          <t>ALVESTA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44914</v>
      </c>
      <c r="E137" s="1" t="n">
        <v>46319</v>
      </c>
      <c r="F137" t="inlineStr">
        <is>
          <t>KRONOBERGS LÄN</t>
        </is>
      </c>
      <c r="G137" t="inlineStr">
        <is>
          <t>ALVESTA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45678</v>
      </c>
      <c r="E138" s="1" t="n">
        <v>46319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46319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46319</v>
      </c>
      <c r="F140" t="inlineStr">
        <is>
          <t>KRONOBERGS LÄN</t>
        </is>
      </c>
      <c r="G140" t="inlineStr">
        <is>
          <t>ALVESTA</t>
        </is>
      </c>
      <c r="I140" t="n">
        <v>10.2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46163</v>
      </c>
      <c r="E141" s="1" t="n">
        <v>46319</v>
      </c>
      <c r="F141" t="inlineStr">
        <is>
          <t>KRONOBERGS LÄN</t>
        </is>
      </c>
      <c r="G141" t="inlineStr">
        <is>
          <t>ALVESTA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46319</v>
      </c>
      <c r="F142" t="inlineStr">
        <is>
          <t>KRONOBERGS LÄN</t>
        </is>
      </c>
      <c r="G142" t="inlineStr">
        <is>
          <t>ALVESTA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46319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46319</v>
      </c>
      <c r="F144" t="inlineStr">
        <is>
          <t>KRONOBERGS LÄN</t>
        </is>
      </c>
      <c r="G144" t="inlineStr">
        <is>
          <t>ALVESTA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46319</v>
      </c>
      <c r="F145" t="inlineStr">
        <is>
          <t>KRONOBERGS LÄN</t>
        </is>
      </c>
      <c r="G145" t="inlineStr">
        <is>
          <t>ALVESTA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56589-2022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46319</v>
      </c>
      <c r="F146" t="inlineStr">
        <is>
          <t>KRONOBERGS LÄN</t>
        </is>
      </c>
      <c r="G146" t="inlineStr">
        <is>
          <t>ALVESTA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46319</v>
      </c>
      <c r="F147" t="inlineStr">
        <is>
          <t>KRONOBERGS LÄN</t>
        </is>
      </c>
      <c r="G147" t="inlineStr">
        <is>
          <t>ALVESTA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46319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45860</v>
      </c>
      <c r="E149" s="1" t="n">
        <v>46319</v>
      </c>
      <c r="F149" t="inlineStr">
        <is>
          <t>KRONOBERGS LÄN</t>
        </is>
      </c>
      <c r="G149" t="inlineStr">
        <is>
          <t>ALVESTA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46319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46319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24420-2026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46169</v>
      </c>
      <c r="E152" s="1" t="n">
        <v>46319</v>
      </c>
      <c r="F152" t="inlineStr">
        <is>
          <t>KRONOBERGS LÄN</t>
        </is>
      </c>
      <c r="G152" t="inlineStr">
        <is>
          <t>ALVESTA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45136</v>
      </c>
      <c r="E153" s="1" t="n">
        <v>46319</v>
      </c>
      <c r="F153" t="inlineStr">
        <is>
          <t>KRONOBERGS LÄN</t>
        </is>
      </c>
      <c r="G153" t="inlineStr">
        <is>
          <t>ALVESTA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46319</v>
      </c>
      <c r="F154" t="inlineStr">
        <is>
          <t>KRONOBERGS LÄN</t>
        </is>
      </c>
      <c r="G154" t="inlineStr">
        <is>
          <t>ALVESTA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45128</v>
      </c>
      <c r="E155" s="1" t="n">
        <v>46319</v>
      </c>
      <c r="F155" t="inlineStr">
        <is>
          <t>KRONOBERGS LÄN</t>
        </is>
      </c>
      <c r="G155" t="inlineStr">
        <is>
          <t>ALVESTA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46169</v>
      </c>
      <c r="E156" s="1" t="n">
        <v>46319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46319</v>
      </c>
      <c r="F157" t="inlineStr">
        <is>
          <t>KRONOBERGS LÄN</t>
        </is>
      </c>
      <c r="G157" t="inlineStr">
        <is>
          <t>ALVESTA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46319</v>
      </c>
      <c r="F158" t="inlineStr">
        <is>
          <t>KRONOBERGS LÄN</t>
        </is>
      </c>
      <c r="G158" t="inlineStr">
        <is>
          <t>ALVESTA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46319</v>
      </c>
      <c r="F159" t="inlineStr">
        <is>
          <t>KRONOBERGS LÄN</t>
        </is>
      </c>
      <c r="G159" t="inlineStr">
        <is>
          <t>ALVESTA</t>
        </is>
      </c>
      <c r="H159" t="inlineStr">
        <is>
          <t>Kommuner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24692-2026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46171</v>
      </c>
      <c r="E160" s="1" t="n">
        <v>46319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46319</v>
      </c>
      <c r="F161" t="inlineStr">
        <is>
          <t>KRONOBERGS LÄN</t>
        </is>
      </c>
      <c r="G161" t="inlineStr">
        <is>
          <t>ALVESTA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46319</v>
      </c>
      <c r="F162" t="inlineStr">
        <is>
          <t>KRONOBERGS LÄN</t>
        </is>
      </c>
      <c r="G162" t="inlineStr">
        <is>
          <t>ALVESTA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46319</v>
      </c>
      <c r="F163" t="inlineStr">
        <is>
          <t>KRONOBERGS LÄN</t>
        </is>
      </c>
      <c r="G163" t="inlineStr">
        <is>
          <t>ALVESTA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46319</v>
      </c>
      <c r="F164" t="inlineStr">
        <is>
          <t>KRONOBERGS LÄN</t>
        </is>
      </c>
      <c r="G164" t="inlineStr">
        <is>
          <t>ALVESTA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45288</v>
      </c>
      <c r="E165" s="1" t="n">
        <v>46319</v>
      </c>
      <c r="F165" t="inlineStr">
        <is>
          <t>KRONOBERGS LÄN</t>
        </is>
      </c>
      <c r="G165" t="inlineStr">
        <is>
          <t>ALVESTA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45547</v>
      </c>
      <c r="E166" s="1" t="n">
        <v>46319</v>
      </c>
      <c r="F166" t="inlineStr">
        <is>
          <t>KRONOBERGS LÄN</t>
        </is>
      </c>
      <c r="G166" t="inlineStr">
        <is>
          <t>ALVESTA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46319</v>
      </c>
      <c r="F167" t="inlineStr">
        <is>
          <t>KRONOBERGS LÄN</t>
        </is>
      </c>
      <c r="G167" t="inlineStr">
        <is>
          <t>ALVESTA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46319</v>
      </c>
      <c r="F168" t="inlineStr">
        <is>
          <t>KRONOBERGS LÄN</t>
        </is>
      </c>
      <c r="G168" t="inlineStr">
        <is>
          <t>ALVESTA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46319</v>
      </c>
      <c r="F169" t="inlineStr">
        <is>
          <t>KRONOBERGS LÄN</t>
        </is>
      </c>
      <c r="G169" t="inlineStr">
        <is>
          <t>ALVESTA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46319</v>
      </c>
      <c r="F170" t="inlineStr">
        <is>
          <t>KRONOBERGS LÄN</t>
        </is>
      </c>
      <c r="G170" t="inlineStr">
        <is>
          <t>ALVESTA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46319</v>
      </c>
      <c r="F171" t="inlineStr">
        <is>
          <t>KRONOBERGS LÄN</t>
        </is>
      </c>
      <c r="G171" t="inlineStr">
        <is>
          <t>ALVESTA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44995</v>
      </c>
      <c r="E172" s="1" t="n">
        <v>46319</v>
      </c>
      <c r="F172" t="inlineStr">
        <is>
          <t>KRONOBERGS LÄN</t>
        </is>
      </c>
      <c r="G172" t="inlineStr">
        <is>
          <t>ALVESTA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46319</v>
      </c>
      <c r="F173" t="inlineStr">
        <is>
          <t>KRONOBERGS LÄN</t>
        </is>
      </c>
      <c r="G173" t="inlineStr">
        <is>
          <t>ALVESTA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45407</v>
      </c>
      <c r="E174" s="1" t="n">
        <v>46319</v>
      </c>
      <c r="F174" t="inlineStr">
        <is>
          <t>KRONOBERGS LÄN</t>
        </is>
      </c>
      <c r="G174" t="inlineStr">
        <is>
          <t>ALVESTA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25609-2026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46175</v>
      </c>
      <c r="E175" s="1" t="n">
        <v>46319</v>
      </c>
      <c r="F175" t="inlineStr">
        <is>
          <t>KRONOBERGS LÄN</t>
        </is>
      </c>
      <c r="G175" t="inlineStr">
        <is>
          <t>ALVESTA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46319</v>
      </c>
      <c r="F176" t="inlineStr">
        <is>
          <t>KRONOBERGS LÄN</t>
        </is>
      </c>
      <c r="G176" t="inlineStr">
        <is>
          <t>ALVESTA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45890</v>
      </c>
      <c r="E177" s="1" t="n">
        <v>46319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60478-2023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45259</v>
      </c>
      <c r="E178" s="1" t="n">
        <v>46319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45673</v>
      </c>
      <c r="E179" s="1" t="n">
        <v>46319</v>
      </c>
      <c r="F179" t="inlineStr">
        <is>
          <t>KRONOBERGS LÄN</t>
        </is>
      </c>
      <c r="G179" t="inlineStr">
        <is>
          <t>ALVESTA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46319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45384</v>
      </c>
      <c r="E181" s="1" t="n">
        <v>46319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44754</v>
      </c>
      <c r="E182" s="1" t="n">
        <v>46319</v>
      </c>
      <c r="F182" t="inlineStr">
        <is>
          <t>KRONOBERGS LÄN</t>
        </is>
      </c>
      <c r="G182" t="inlineStr">
        <is>
          <t>ALVESTA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45210</v>
      </c>
      <c r="E183" s="1" t="n">
        <v>46319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46319</v>
      </c>
      <c r="F184" t="inlineStr">
        <is>
          <t>KRONOBERGS LÄN</t>
        </is>
      </c>
      <c r="G184" t="inlineStr">
        <is>
          <t>ALVESTA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46319</v>
      </c>
      <c r="F185" t="inlineStr">
        <is>
          <t>KRONOBERGS LÄN</t>
        </is>
      </c>
      <c r="G185" t="inlineStr">
        <is>
          <t>ALVESTA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45407</v>
      </c>
      <c r="E186" s="1" t="n">
        <v>46319</v>
      </c>
      <c r="F186" t="inlineStr">
        <is>
          <t>KRONOBERGS LÄN</t>
        </is>
      </c>
      <c r="G186" t="inlineStr">
        <is>
          <t>ALVESTA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46319</v>
      </c>
      <c r="F187" t="inlineStr">
        <is>
          <t>KRONOBERGS LÄN</t>
        </is>
      </c>
      <c r="G187" t="inlineStr">
        <is>
          <t>ALVESTA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46319</v>
      </c>
      <c r="F188" t="inlineStr">
        <is>
          <t>KRONOBERGS LÄN</t>
        </is>
      </c>
      <c r="G188" t="inlineStr">
        <is>
          <t>ALVESTA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45692</v>
      </c>
      <c r="E189" s="1" t="n">
        <v>46319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46319</v>
      </c>
      <c r="F190" t="inlineStr">
        <is>
          <t>KRONOBERGS LÄN</t>
        </is>
      </c>
      <c r="G190" t="inlineStr">
        <is>
          <t>ALVESTA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52557-2025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46319</v>
      </c>
      <c r="F191" t="inlineStr">
        <is>
          <t>KRONOBERGS LÄN</t>
        </is>
      </c>
      <c r="G191" t="inlineStr">
        <is>
          <t>ALVESTA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40366-2023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46319</v>
      </c>
      <c r="F192" t="inlineStr">
        <is>
          <t>KRONOBERGS LÄN</t>
        </is>
      </c>
      <c r="G192" t="inlineStr">
        <is>
          <t>ALVESTA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46319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27032-2026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46185</v>
      </c>
      <c r="E194" s="1" t="n">
        <v>46319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46186</v>
      </c>
      <c r="E195" s="1" t="n">
        <v>46319</v>
      </c>
      <c r="F195" t="inlineStr">
        <is>
          <t>KRONOBERGS LÄN</t>
        </is>
      </c>
      <c r="G195" t="inlineStr">
        <is>
          <t>ALVESTA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46319</v>
      </c>
      <c r="F196" t="inlineStr">
        <is>
          <t>KRONOBERGS LÄN</t>
        </is>
      </c>
      <c r="G196" t="inlineStr">
        <is>
          <t>ALVESTA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46319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46319</v>
      </c>
      <c r="F198" t="inlineStr">
        <is>
          <t>KRONOBERGS LÄN</t>
        </is>
      </c>
      <c r="G198" t="inlineStr">
        <is>
          <t>ALVESTA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46319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46319</v>
      </c>
      <c r="F200" t="inlineStr">
        <is>
          <t>KRONOBERGS LÄN</t>
        </is>
      </c>
      <c r="G200" t="inlineStr">
        <is>
          <t>ALVESTA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46319</v>
      </c>
      <c r="F201" t="inlineStr">
        <is>
          <t>KRONOBERGS LÄN</t>
        </is>
      </c>
      <c r="G201" t="inlineStr">
        <is>
          <t>ALVESTA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45254</v>
      </c>
      <c r="E202" s="1" t="n">
        <v>46319</v>
      </c>
      <c r="F202" t="inlineStr">
        <is>
          <t>KRONOBERGS LÄN</t>
        </is>
      </c>
      <c r="G202" t="inlineStr">
        <is>
          <t>ALVESTA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46319</v>
      </c>
      <c r="F203" t="inlineStr">
        <is>
          <t>KRONOBERGS LÄN</t>
        </is>
      </c>
      <c r="G203" t="inlineStr">
        <is>
          <t>ALVESTA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45336</v>
      </c>
      <c r="E204" s="1" t="n">
        <v>46319</v>
      </c>
      <c r="F204" t="inlineStr">
        <is>
          <t>KRONOBERGS LÄN</t>
        </is>
      </c>
      <c r="G204" t="inlineStr">
        <is>
          <t>ALVESTA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45328</v>
      </c>
      <c r="E205" s="1" t="n">
        <v>46319</v>
      </c>
      <c r="F205" t="inlineStr">
        <is>
          <t>KRONOBERGS LÄN</t>
        </is>
      </c>
      <c r="G205" t="inlineStr">
        <is>
          <t>ALVESTA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20180-2023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45055</v>
      </c>
      <c r="E206" s="1" t="n">
        <v>46319</v>
      </c>
      <c r="F206" t="inlineStr">
        <is>
          <t>KRONOBERGS LÄN</t>
        </is>
      </c>
      <c r="G206" t="inlineStr">
        <is>
          <t>ALVESTA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45105</v>
      </c>
      <c r="E207" s="1" t="n">
        <v>46319</v>
      </c>
      <c r="F207" t="inlineStr">
        <is>
          <t>KRONOBERGS LÄN</t>
        </is>
      </c>
      <c r="G207" t="inlineStr">
        <is>
          <t>ALVESTA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58641-2024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46319</v>
      </c>
      <c r="F208" t="inlineStr">
        <is>
          <t>KRONOBERGS LÄN</t>
        </is>
      </c>
      <c r="G208" t="inlineStr">
        <is>
          <t>ALVESTA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46196</v>
      </c>
      <c r="E209" s="1" t="n">
        <v>46319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45032</v>
      </c>
      <c r="E210" s="1" t="n">
        <v>46319</v>
      </c>
      <c r="F210" t="inlineStr">
        <is>
          <t>KRONOBERGS LÄN</t>
        </is>
      </c>
      <c r="G210" t="inlineStr">
        <is>
          <t>ALVESTA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28237-2026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46319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46319</v>
      </c>
      <c r="F212" t="inlineStr">
        <is>
          <t>KRONOBERGS LÄN</t>
        </is>
      </c>
      <c r="G212" t="inlineStr">
        <is>
          <t>ALVESTA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46319</v>
      </c>
      <c r="F213" t="inlineStr">
        <is>
          <t>KRONOBERGS LÄN</t>
        </is>
      </c>
      <c r="G213" t="inlineStr">
        <is>
          <t>ALVESTA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46319</v>
      </c>
      <c r="F214" t="inlineStr">
        <is>
          <t>KRONOBERGS LÄN</t>
        </is>
      </c>
      <c r="G214" t="inlineStr">
        <is>
          <t>ALVESTA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46319</v>
      </c>
      <c r="F215" t="inlineStr">
        <is>
          <t>KRONOBERGS LÄN</t>
        </is>
      </c>
      <c r="G215" t="inlineStr">
        <is>
          <t>ALVESTA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46319</v>
      </c>
      <c r="F216" t="inlineStr">
        <is>
          <t>KRONOBERGS LÄN</t>
        </is>
      </c>
      <c r="G216" t="inlineStr">
        <is>
          <t>ALVESTA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46319</v>
      </c>
      <c r="F217" t="inlineStr">
        <is>
          <t>KRONOBERGS LÄN</t>
        </is>
      </c>
      <c r="G217" t="inlineStr">
        <is>
          <t>ALVESTA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9822-2022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44620</v>
      </c>
      <c r="E218" s="1" t="n">
        <v>46319</v>
      </c>
      <c r="F218" t="inlineStr">
        <is>
          <t>KRONOBERGS LÄN</t>
        </is>
      </c>
      <c r="G218" t="inlineStr">
        <is>
          <t>ALVESTA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46319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44911</v>
      </c>
      <c r="E220" s="1" t="n">
        <v>46319</v>
      </c>
      <c r="F220" t="inlineStr">
        <is>
          <t>KRONOBERGS LÄN</t>
        </is>
      </c>
      <c r="G220" t="inlineStr">
        <is>
          <t>ALVESTA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46319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46319</v>
      </c>
      <c r="F222" t="inlineStr">
        <is>
          <t>KRONOBERGS LÄN</t>
        </is>
      </c>
      <c r="G222" t="inlineStr">
        <is>
          <t>ALVESTA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46319</v>
      </c>
      <c r="F223" t="inlineStr">
        <is>
          <t>KRONOBERGS LÄN</t>
        </is>
      </c>
      <c r="G223" t="inlineStr">
        <is>
          <t>ALVESTA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46319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46319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46319</v>
      </c>
      <c r="F226" t="inlineStr">
        <is>
          <t>KRONOBERGS LÄN</t>
        </is>
      </c>
      <c r="G226" t="inlineStr">
        <is>
          <t>ALVESTA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45267</v>
      </c>
      <c r="E227" s="1" t="n">
        <v>46319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46319</v>
      </c>
      <c r="F228" t="inlineStr">
        <is>
          <t>KRONOBERGS LÄN</t>
        </is>
      </c>
      <c r="G228" t="inlineStr">
        <is>
          <t>ALVESTA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29772-2026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46319</v>
      </c>
      <c r="F229" t="inlineStr">
        <is>
          <t>KRONOBERGS LÄN</t>
        </is>
      </c>
      <c r="G229" t="inlineStr">
        <is>
          <t>ALVESTA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46319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46204</v>
      </c>
      <c r="E231" s="1" t="n">
        <v>46319</v>
      </c>
      <c r="F231" t="inlineStr">
        <is>
          <t>KRONOBERGS LÄN</t>
        </is>
      </c>
      <c r="G231" t="inlineStr">
        <is>
          <t>ALVESTA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46319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44998</v>
      </c>
      <c r="E233" s="1" t="n">
        <v>46319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46204</v>
      </c>
      <c r="E234" s="1" t="n">
        <v>46319</v>
      </c>
      <c r="F234" t="inlineStr">
        <is>
          <t>KRONOBERGS LÄN</t>
        </is>
      </c>
      <c r="G234" t="inlineStr">
        <is>
          <t>ALVESTA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29770-2026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46204</v>
      </c>
      <c r="E235" s="1" t="n">
        <v>46319</v>
      </c>
      <c r="F235" t="inlineStr">
        <is>
          <t>KRONOBERGS LÄN</t>
        </is>
      </c>
      <c r="G235" t="inlineStr">
        <is>
          <t>ALVESTA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46319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46319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30384-2026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46319</v>
      </c>
      <c r="F238" t="inlineStr">
        <is>
          <t>KRONOBERGS LÄN</t>
        </is>
      </c>
      <c r="G238" t="inlineStr">
        <is>
          <t>ALVESTA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46206</v>
      </c>
      <c r="E239" s="1" t="n">
        <v>46319</v>
      </c>
      <c r="F239" t="inlineStr">
        <is>
          <t>KRONOBERGS LÄN</t>
        </is>
      </c>
      <c r="G239" t="inlineStr">
        <is>
          <t>ALVESTA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45358</v>
      </c>
      <c r="E240" s="1" t="n">
        <v>46319</v>
      </c>
      <c r="F240" t="inlineStr">
        <is>
          <t>KRONOBERGS LÄN</t>
        </is>
      </c>
      <c r="G240" t="inlineStr">
        <is>
          <t>ALVESTA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44958</v>
      </c>
      <c r="E241" s="1" t="n">
        <v>46319</v>
      </c>
      <c r="F241" t="inlineStr">
        <is>
          <t>KRONOBERGS LÄN</t>
        </is>
      </c>
      <c r="G241" t="inlineStr">
        <is>
          <t>ALVESTA</t>
        </is>
      </c>
      <c r="H241" t="inlineStr">
        <is>
          <t>Kommuner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46319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46319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46212</v>
      </c>
      <c r="E244" s="1" t="n">
        <v>46319</v>
      </c>
      <c r="F244" t="inlineStr">
        <is>
          <t>KRONOBERGS LÄN</t>
        </is>
      </c>
      <c r="G244" t="inlineStr">
        <is>
          <t>ALVESTA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45462</v>
      </c>
      <c r="E245" s="1" t="n">
        <v>46319</v>
      </c>
      <c r="F245" t="inlineStr">
        <is>
          <t>KRONOBERGS LÄN</t>
        </is>
      </c>
      <c r="G245" t="inlineStr">
        <is>
          <t>ALVESTA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46319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45320</v>
      </c>
      <c r="E247" s="1" t="n">
        <v>46319</v>
      </c>
      <c r="F247" t="inlineStr">
        <is>
          <t>KRONOBERGS LÄN</t>
        </is>
      </c>
      <c r="G247" t="inlineStr">
        <is>
          <t>ALVESTA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60700-2025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45996</v>
      </c>
      <c r="E248" s="1" t="n">
        <v>46319</v>
      </c>
      <c r="F248" t="inlineStr">
        <is>
          <t>KRONOBERGS LÄN</t>
        </is>
      </c>
      <c r="G248" t="inlineStr">
        <is>
          <t>ALVESTA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45043</v>
      </c>
      <c r="E249" s="1" t="n">
        <v>46319</v>
      </c>
      <c r="F249" t="inlineStr">
        <is>
          <t>KRONOBERGS LÄN</t>
        </is>
      </c>
      <c r="G249" t="inlineStr">
        <is>
          <t>ALVESTA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38385-2022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44812</v>
      </c>
      <c r="E250" s="1" t="n">
        <v>46319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17782-2024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45418</v>
      </c>
      <c r="E251" s="1" t="n">
        <v>46319</v>
      </c>
      <c r="F251" t="inlineStr">
        <is>
          <t>KRONOBERGS LÄN</t>
        </is>
      </c>
      <c r="G251" t="inlineStr">
        <is>
          <t>ALVESTA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45551</v>
      </c>
      <c r="E252" s="1" t="n">
        <v>46319</v>
      </c>
      <c r="F252" t="inlineStr">
        <is>
          <t>KRONOBERGS LÄN</t>
        </is>
      </c>
      <c r="G252" t="inlineStr">
        <is>
          <t>ALVESTA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45113</v>
      </c>
      <c r="E253" s="1" t="n">
        <v>46319</v>
      </c>
      <c r="F253" t="inlineStr">
        <is>
          <t>KRONOBERGS LÄN</t>
        </is>
      </c>
      <c r="G253" t="inlineStr">
        <is>
          <t>ALVESTA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45385</v>
      </c>
      <c r="E254" s="1" t="n">
        <v>46319</v>
      </c>
      <c r="F254" t="inlineStr">
        <is>
          <t>KRONOBERGS LÄN</t>
        </is>
      </c>
      <c r="G254" t="inlineStr">
        <is>
          <t>ALVESTA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45616</v>
      </c>
      <c r="E255" s="1" t="n">
        <v>46319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46319</v>
      </c>
      <c r="F256" t="inlineStr">
        <is>
          <t>KRONOBERGS LÄN</t>
        </is>
      </c>
      <c r="G256" t="inlineStr">
        <is>
          <t>ALVESTA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46319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46319</v>
      </c>
      <c r="F258" t="inlineStr">
        <is>
          <t>KRONOBERGS LÄN</t>
        </is>
      </c>
      <c r="G258" t="inlineStr">
        <is>
          <t>ALVESTA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46319</v>
      </c>
      <c r="F259" t="inlineStr">
        <is>
          <t>KRONOBERGS LÄN</t>
        </is>
      </c>
      <c r="G259" t="inlineStr">
        <is>
          <t>ALVESTA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45341</v>
      </c>
      <c r="E260" s="1" t="n">
        <v>46319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45949</v>
      </c>
      <c r="E261" s="1" t="n">
        <v>46319</v>
      </c>
      <c r="F261" t="inlineStr">
        <is>
          <t>KRONOBERGS LÄN</t>
        </is>
      </c>
      <c r="G261" t="inlineStr">
        <is>
          <t>ALVESTA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17790-2024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45418</v>
      </c>
      <c r="E262" s="1" t="n">
        <v>46319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46281</v>
      </c>
      <c r="E263" s="1" t="n">
        <v>46319</v>
      </c>
      <c r="F263" t="inlineStr">
        <is>
          <t>KRONOBERGS LÄN</t>
        </is>
      </c>
      <c r="G263" t="inlineStr">
        <is>
          <t>ALVESTA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46281</v>
      </c>
      <c r="E264" s="1" t="n">
        <v>46319</v>
      </c>
      <c r="F264" t="inlineStr">
        <is>
          <t>KRONOBERGS LÄN</t>
        </is>
      </c>
      <c r="G264" t="inlineStr">
        <is>
          <t>ALVESTA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46238</v>
      </c>
      <c r="E265" s="1" t="n">
        <v>46319</v>
      </c>
      <c r="F265" t="inlineStr">
        <is>
          <t>KRONOBERGS LÄN</t>
        </is>
      </c>
      <c r="G265" t="inlineStr">
        <is>
          <t>ALVESTA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45440</v>
      </c>
      <c r="E266" s="1" t="n">
        <v>46319</v>
      </c>
      <c r="F266" t="inlineStr">
        <is>
          <t>KRONOBERGS LÄN</t>
        </is>
      </c>
      <c r="G266" t="inlineStr">
        <is>
          <t>ALVESTA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45790</v>
      </c>
      <c r="E267" s="1" t="n">
        <v>46319</v>
      </c>
      <c r="F267" t="inlineStr">
        <is>
          <t>KRONOBERGS LÄN</t>
        </is>
      </c>
      <c r="G267" t="inlineStr">
        <is>
          <t>ALVESTA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45456</v>
      </c>
      <c r="E268" s="1" t="n">
        <v>46319</v>
      </c>
      <c r="F268" t="inlineStr">
        <is>
          <t>KRONOBERGS LÄN</t>
        </is>
      </c>
      <c r="G268" t="inlineStr">
        <is>
          <t>ALVESTA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46286</v>
      </c>
      <c r="E269" s="1" t="n">
        <v>46319</v>
      </c>
      <c r="F269" t="inlineStr">
        <is>
          <t>KRONOBERGS LÄN</t>
        </is>
      </c>
      <c r="G269" t="inlineStr">
        <is>
          <t>ALVESTA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38914-2026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46286</v>
      </c>
      <c r="E270" s="1" t="n">
        <v>46319</v>
      </c>
      <c r="F270" t="inlineStr">
        <is>
          <t>KRONOBERGS LÄN</t>
        </is>
      </c>
      <c r="G270" t="inlineStr">
        <is>
          <t>ALVESTA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46286</v>
      </c>
      <c r="E271" s="1" t="n">
        <v>46319</v>
      </c>
      <c r="F271" t="inlineStr">
        <is>
          <t>KRONOBERGS LÄN</t>
        </is>
      </c>
      <c r="G271" t="inlineStr">
        <is>
          <t>ALVESTA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45705</v>
      </c>
      <c r="E272" s="1" t="n">
        <v>46319</v>
      </c>
      <c r="F272" t="inlineStr">
        <is>
          <t>KRONOBERGS LÄN</t>
        </is>
      </c>
      <c r="G272" t="inlineStr">
        <is>
          <t>ALVESTA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46241</v>
      </c>
      <c r="E273" s="1" t="n">
        <v>46319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46241</v>
      </c>
      <c r="E274" s="1" t="n">
        <v>46319</v>
      </c>
      <c r="F274" t="inlineStr">
        <is>
          <t>KRONOBERGS LÄN</t>
        </is>
      </c>
      <c r="G274" t="inlineStr">
        <is>
          <t>ALVESTA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45363</v>
      </c>
      <c r="E275" s="1" t="n">
        <v>46319</v>
      </c>
      <c r="F275" t="inlineStr">
        <is>
          <t>KRONOBERGS LÄN</t>
        </is>
      </c>
      <c r="G275" t="inlineStr">
        <is>
          <t>ALVESTA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46319</v>
      </c>
      <c r="F276" t="inlineStr">
        <is>
          <t>KRONOBERGS LÄN</t>
        </is>
      </c>
      <c r="G276" t="inlineStr">
        <is>
          <t>ALVESTA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46286</v>
      </c>
      <c r="E277" s="1" t="n">
        <v>46319</v>
      </c>
      <c r="F277" t="inlineStr">
        <is>
          <t>KRONOBERGS LÄN</t>
        </is>
      </c>
      <c r="G277" t="inlineStr">
        <is>
          <t>ALVESTA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32787-2026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46319</v>
      </c>
      <c r="F278" t="inlineStr">
        <is>
          <t>KRONOBERGS LÄN</t>
        </is>
      </c>
      <c r="G278" t="inlineStr">
        <is>
          <t>ALVESTA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46319</v>
      </c>
      <c r="F279" t="inlineStr">
        <is>
          <t>KRONOBERGS LÄN</t>
        </is>
      </c>
      <c r="G279" t="inlineStr">
        <is>
          <t>ALVESTA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32794-2026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46241</v>
      </c>
      <c r="E280" s="1" t="n">
        <v>46319</v>
      </c>
      <c r="F280" t="inlineStr">
        <is>
          <t>KRONOBERGS LÄN</t>
        </is>
      </c>
      <c r="G280" t="inlineStr">
        <is>
          <t>ALVESTA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46241</v>
      </c>
      <c r="E281" s="1" t="n">
        <v>46319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38912-2026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46319</v>
      </c>
      <c r="F282" t="inlineStr">
        <is>
          <t>KRONOBERGS LÄN</t>
        </is>
      </c>
      <c r="G282" t="inlineStr">
        <is>
          <t>ALVESTA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46286</v>
      </c>
      <c r="E283" s="1" t="n">
        <v>46319</v>
      </c>
      <c r="F283" t="inlineStr">
        <is>
          <t>KRONOBERGS LÄN</t>
        </is>
      </c>
      <c r="G283" t="inlineStr">
        <is>
          <t>ALVESTA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46319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46319</v>
      </c>
      <c r="F285" t="inlineStr">
        <is>
          <t>KRONOBERGS LÄN</t>
        </is>
      </c>
      <c r="G285" t="inlineStr">
        <is>
          <t>ALVESTA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45436</v>
      </c>
      <c r="E286" s="1" t="n">
        <v>46319</v>
      </c>
      <c r="F286" t="inlineStr">
        <is>
          <t>KRONOBERGS LÄN</t>
        </is>
      </c>
      <c r="G286" t="inlineStr">
        <is>
          <t>ALVESTA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46288</v>
      </c>
      <c r="E287" s="1" t="n">
        <v>46319</v>
      </c>
      <c r="F287" t="inlineStr">
        <is>
          <t>KRONOBERGS LÄN</t>
        </is>
      </c>
      <c r="G287" t="inlineStr">
        <is>
          <t>ALVESTA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25220-2025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46319</v>
      </c>
      <c r="F288" t="inlineStr">
        <is>
          <t>KRONOBERGS LÄN</t>
        </is>
      </c>
      <c r="G288" t="inlineStr">
        <is>
          <t>ALVESTA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45015</v>
      </c>
      <c r="E289" s="1" t="n">
        <v>46319</v>
      </c>
      <c r="F289" t="inlineStr">
        <is>
          <t>KRONOBERGS LÄN</t>
        </is>
      </c>
      <c r="G289" t="inlineStr">
        <is>
          <t>ALVESTA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17737-2024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45418</v>
      </c>
      <c r="E290" s="1" t="n">
        <v>46319</v>
      </c>
      <c r="F290" t="inlineStr">
        <is>
          <t>KRONOBERGS LÄN</t>
        </is>
      </c>
      <c r="G290" t="inlineStr">
        <is>
          <t>ALVESTA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45391</v>
      </c>
      <c r="E291" s="1" t="n">
        <v>46319</v>
      </c>
      <c r="F291" t="inlineStr">
        <is>
          <t>KRONOBERGS LÄN</t>
        </is>
      </c>
      <c r="G291" t="inlineStr">
        <is>
          <t>ALVESTA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46244</v>
      </c>
      <c r="E292" s="1" t="n">
        <v>46319</v>
      </c>
      <c r="F292" t="inlineStr">
        <is>
          <t>KRONOBERGS LÄN</t>
        </is>
      </c>
      <c r="G292" t="inlineStr">
        <is>
          <t>ALVESTA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45518</v>
      </c>
      <c r="E293" s="1" t="n">
        <v>46319</v>
      </c>
      <c r="F293" t="inlineStr">
        <is>
          <t>KRONOBERGS LÄN</t>
        </is>
      </c>
      <c r="G293" t="inlineStr">
        <is>
          <t>ALVESTA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46288</v>
      </c>
      <c r="E294" s="1" t="n">
        <v>46319</v>
      </c>
      <c r="F294" t="inlineStr">
        <is>
          <t>KRONOBERGS LÄN</t>
        </is>
      </c>
      <c r="G294" t="inlineStr">
        <is>
          <t>ALVESTA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46319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46287</v>
      </c>
      <c r="E296" s="1" t="n">
        <v>46319</v>
      </c>
      <c r="F296" t="inlineStr">
        <is>
          <t>KRONOBERGS LÄN</t>
        </is>
      </c>
      <c r="G296" t="inlineStr">
        <is>
          <t>ALVESTA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32952-2026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46244</v>
      </c>
      <c r="E297" s="1" t="n">
        <v>46319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46319</v>
      </c>
      <c r="F298" t="inlineStr">
        <is>
          <t>KRONOBERGS LÄN</t>
        </is>
      </c>
      <c r="G298" t="inlineStr">
        <is>
          <t>ALVESTA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45800</v>
      </c>
      <c r="E299" s="1" t="n">
        <v>46319</v>
      </c>
      <c r="F299" t="inlineStr">
        <is>
          <t>KRONOBERGS LÄN</t>
        </is>
      </c>
      <c r="G299" t="inlineStr">
        <is>
          <t>ALVESTA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6489-2022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44601</v>
      </c>
      <c r="E300" s="1" t="n">
        <v>46319</v>
      </c>
      <c r="F300" t="inlineStr">
        <is>
          <t>KRONOBERGS LÄN</t>
        </is>
      </c>
      <c r="G300" t="inlineStr">
        <is>
          <t>ALVESTA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46319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46319</v>
      </c>
      <c r="F302" t="inlineStr">
        <is>
          <t>KRONOBERGS LÄN</t>
        </is>
      </c>
      <c r="G302" t="inlineStr">
        <is>
          <t>ALVESTA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46319</v>
      </c>
      <c r="F303" t="inlineStr">
        <is>
          <t>KRONOBERGS LÄN</t>
        </is>
      </c>
      <c r="G303" t="inlineStr">
        <is>
          <t>ALVESTA</t>
        </is>
      </c>
      <c r="H303" t="inlineStr">
        <is>
          <t>Kyrkan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45782</v>
      </c>
      <c r="E304" s="1" t="n">
        <v>46319</v>
      </c>
      <c r="F304" t="inlineStr">
        <is>
          <t>KRONOBERGS LÄN</t>
        </is>
      </c>
      <c r="G304" t="inlineStr">
        <is>
          <t>ALVESTA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44816</v>
      </c>
      <c r="E305" s="1" t="n">
        <v>46319</v>
      </c>
      <c r="F305" t="inlineStr">
        <is>
          <t>KRONOBERGS LÄN</t>
        </is>
      </c>
      <c r="G305" t="inlineStr">
        <is>
          <t>ALVESTA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28015-2024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45476</v>
      </c>
      <c r="E306" s="1" t="n">
        <v>46319</v>
      </c>
      <c r="F306" t="inlineStr">
        <is>
          <t>KRONOBERGS LÄN</t>
        </is>
      </c>
      <c r="G306" t="inlineStr">
        <is>
          <t>ALVESTA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62704-2021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44504</v>
      </c>
      <c r="E307" s="1" t="n">
        <v>46319</v>
      </c>
      <c r="F307" t="inlineStr">
        <is>
          <t>KRONOBERGS LÄN</t>
        </is>
      </c>
      <c r="G307" t="inlineStr">
        <is>
          <t>ALVESTA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39701-2026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46319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45342</v>
      </c>
      <c r="E309" s="1" t="n">
        <v>46319</v>
      </c>
      <c r="F309" t="inlineStr">
        <is>
          <t>KRONOBERGS LÄN</t>
        </is>
      </c>
      <c r="G309" t="inlineStr">
        <is>
          <t>ALVESTA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7156-2026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46058</v>
      </c>
      <c r="E310" s="1" t="n">
        <v>46319</v>
      </c>
      <c r="F310" t="inlineStr">
        <is>
          <t>KRONOBERGS LÄN</t>
        </is>
      </c>
      <c r="G310" t="inlineStr">
        <is>
          <t>ALVESTA</t>
        </is>
      </c>
      <c r="I310" t="n">
        <v>9.6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46319</v>
      </c>
      <c r="F311" t="inlineStr">
        <is>
          <t>KRONOBERGS LÄN</t>
        </is>
      </c>
      <c r="G311" t="inlineStr">
        <is>
          <t>ALVESTA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46319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46319</v>
      </c>
      <c r="F313" t="inlineStr">
        <is>
          <t>KRONOBERGS LÄN</t>
        </is>
      </c>
      <c r="G313" t="inlineStr">
        <is>
          <t>ALVESTA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46319</v>
      </c>
      <c r="F314" t="inlineStr">
        <is>
          <t>KRONOBERGS LÄN</t>
        </is>
      </c>
      <c r="G314" t="inlineStr">
        <is>
          <t>ALVESTA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46319</v>
      </c>
      <c r="F315" t="inlineStr">
        <is>
          <t>KRONOBERGS LÄN</t>
        </is>
      </c>
      <c r="G315" t="inlineStr">
        <is>
          <t>ALVESTA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40083-2026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46293</v>
      </c>
      <c r="E316" s="1" t="n">
        <v>46319</v>
      </c>
      <c r="F316" t="inlineStr">
        <is>
          <t>KRONOBERGS LÄN</t>
        </is>
      </c>
      <c r="G316" t="inlineStr">
        <is>
          <t>ALVESTA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46063</v>
      </c>
      <c r="E317" s="1" t="n">
        <v>46319</v>
      </c>
      <c r="F317" t="inlineStr">
        <is>
          <t>KRONOBERGS LÄN</t>
        </is>
      </c>
      <c r="G317" t="inlineStr">
        <is>
          <t>ALVESTA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46064</v>
      </c>
      <c r="E318" s="1" t="n">
        <v>46319</v>
      </c>
      <c r="F318" t="inlineStr">
        <is>
          <t>KRONOBERGS LÄN</t>
        </is>
      </c>
      <c r="G318" t="inlineStr">
        <is>
          <t>ALVESTA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46293</v>
      </c>
      <c r="E319" s="1" t="n">
        <v>46319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45384</v>
      </c>
      <c r="E320" s="1" t="n">
        <v>46319</v>
      </c>
      <c r="F320" t="inlineStr">
        <is>
          <t>KRONOBERGS LÄN</t>
        </is>
      </c>
      <c r="G320" t="inlineStr">
        <is>
          <t>ALVESTA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40836-2026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46296</v>
      </c>
      <c r="E321" s="1" t="n">
        <v>46319</v>
      </c>
      <c r="F321" t="inlineStr">
        <is>
          <t>KRONOBERGS LÄN</t>
        </is>
      </c>
      <c r="G321" t="inlineStr">
        <is>
          <t>ALVESTA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46319</v>
      </c>
      <c r="F322" t="inlineStr">
        <is>
          <t>KRONOBERGS LÄN</t>
        </is>
      </c>
      <c r="G322" t="inlineStr">
        <is>
          <t>ALVESTA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46319</v>
      </c>
      <c r="F323" t="inlineStr">
        <is>
          <t>KRONOBERGS LÄN</t>
        </is>
      </c>
      <c r="G323" t="inlineStr">
        <is>
          <t>ALVESTA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29163-2025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45821</v>
      </c>
      <c r="E324" s="1" t="n">
        <v>46319</v>
      </c>
      <c r="F324" t="inlineStr">
        <is>
          <t>KRONOBERGS LÄN</t>
        </is>
      </c>
      <c r="G324" t="inlineStr">
        <is>
          <t>ALVESTA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46319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45825</v>
      </c>
      <c r="E326" s="1" t="n">
        <v>46319</v>
      </c>
      <c r="F326" t="inlineStr">
        <is>
          <t>KRONOBERGS LÄN</t>
        </is>
      </c>
      <c r="G326" t="inlineStr">
        <is>
          <t>ALVESTA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30222-2025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46319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46319</v>
      </c>
      <c r="F328" t="inlineStr">
        <is>
          <t>KRONOBERGS LÄN</t>
        </is>
      </c>
      <c r="G328" t="inlineStr">
        <is>
          <t>ALVESTA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11331-2026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46081</v>
      </c>
      <c r="E329" s="1" t="n">
        <v>46319</v>
      </c>
      <c r="F329" t="inlineStr">
        <is>
          <t>KRONOBERGS LÄN</t>
        </is>
      </c>
      <c r="G329" t="inlineStr">
        <is>
          <t>ALVESTA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46319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46319</v>
      </c>
      <c r="F331" t="inlineStr">
        <is>
          <t>KRONOBERGS LÄN</t>
        </is>
      </c>
      <c r="G331" t="inlineStr">
        <is>
          <t>ALVESTA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45831</v>
      </c>
      <c r="E332" s="1" t="n">
        <v>46319</v>
      </c>
      <c r="F332" t="inlineStr">
        <is>
          <t>KRONOBERGS LÄN</t>
        </is>
      </c>
      <c r="G332" t="inlineStr">
        <is>
          <t>ALVESTA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19286-2025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46319</v>
      </c>
      <c r="F333" t="inlineStr">
        <is>
          <t>KRONOBERGS LÄN</t>
        </is>
      </c>
      <c r="G333" t="inlineStr">
        <is>
          <t>ALVESTA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46319</v>
      </c>
      <c r="F334" t="inlineStr">
        <is>
          <t>KRONOBERGS LÄN</t>
        </is>
      </c>
      <c r="G334" t="inlineStr">
        <is>
          <t>ALVESTA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12258-2026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46087</v>
      </c>
      <c r="E335" s="1" t="n">
        <v>46319</v>
      </c>
      <c r="F335" t="inlineStr">
        <is>
          <t>KRONOBERGS LÄN</t>
        </is>
      </c>
      <c r="G335" t="inlineStr">
        <is>
          <t>ALVESTA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46319</v>
      </c>
      <c r="F336" t="inlineStr">
        <is>
          <t>KRONOBERGS LÄN</t>
        </is>
      </c>
      <c r="G336" t="inlineStr">
        <is>
          <t>ALVESTA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46297</v>
      </c>
      <c r="E337" s="1" t="n">
        <v>46319</v>
      </c>
      <c r="F337" t="inlineStr">
        <is>
          <t>KRONOBERGS LÄN</t>
        </is>
      </c>
      <c r="G337" t="inlineStr">
        <is>
          <t>ALVESTA</t>
        </is>
      </c>
      <c r="H337" t="inlineStr">
        <is>
          <t>Övriga Aktiebolag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46319</v>
      </c>
      <c r="F338" t="inlineStr">
        <is>
          <t>KRONOBERGS LÄN</t>
        </is>
      </c>
      <c r="G338" t="inlineStr">
        <is>
          <t>ALVESTA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32529-2025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45838</v>
      </c>
      <c r="E339" s="1" t="n">
        <v>46319</v>
      </c>
      <c r="F339" t="inlineStr">
        <is>
          <t>KRONOBERGS LÄN</t>
        </is>
      </c>
      <c r="G339" t="inlineStr">
        <is>
          <t>ALVESTA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46319</v>
      </c>
      <c r="F340" t="inlineStr">
        <is>
          <t>KRONOBERGS LÄN</t>
        </is>
      </c>
      <c r="G340" t="inlineStr">
        <is>
          <t>ALVESTA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45989</v>
      </c>
      <c r="E341" s="1" t="n">
        <v>46319</v>
      </c>
      <c r="F341" t="inlineStr">
        <is>
          <t>KRONOBERGS LÄN</t>
        </is>
      </c>
      <c r="G341" t="inlineStr">
        <is>
          <t>ALVESTA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46319</v>
      </c>
      <c r="F342" t="inlineStr">
        <is>
          <t>KRONOBERGS LÄN</t>
        </is>
      </c>
      <c r="G342" t="inlineStr">
        <is>
          <t>ALVESTA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46319</v>
      </c>
      <c r="F343" t="inlineStr">
        <is>
          <t>KRONOBERGS LÄN</t>
        </is>
      </c>
      <c r="G343" t="inlineStr">
        <is>
          <t>ALVESTA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46319</v>
      </c>
      <c r="F344" t="inlineStr">
        <is>
          <t>KRONOBERGS LÄN</t>
        </is>
      </c>
      <c r="G344" t="inlineStr">
        <is>
          <t>ALVESTA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46098</v>
      </c>
      <c r="E345" s="1" t="n">
        <v>46319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45841</v>
      </c>
      <c r="E346" s="1" t="n">
        <v>46319</v>
      </c>
      <c r="F346" t="inlineStr">
        <is>
          <t>KRONOBERGS LÄN</t>
        </is>
      </c>
      <c r="G346" t="inlineStr">
        <is>
          <t>ALVESTA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41054-2026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46300</v>
      </c>
      <c r="E347" s="1" t="n">
        <v>46319</v>
      </c>
      <c r="F347" t="inlineStr">
        <is>
          <t>KRONOBERGS LÄN</t>
        </is>
      </c>
      <c r="G347" t="inlineStr">
        <is>
          <t>ALVESTA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14324-2023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46319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45847</v>
      </c>
      <c r="E349" s="1" t="n">
        <v>46319</v>
      </c>
      <c r="F349" t="inlineStr">
        <is>
          <t>KRONOBERGS LÄN</t>
        </is>
      </c>
      <c r="G349" t="inlineStr">
        <is>
          <t>ALVESTA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45852</v>
      </c>
      <c r="E350" s="1" t="n">
        <v>46319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46302</v>
      </c>
      <c r="E351" s="1" t="n">
        <v>46319</v>
      </c>
      <c r="F351" t="inlineStr">
        <is>
          <t>KRONOBERGS LÄN</t>
        </is>
      </c>
      <c r="G351" t="inlineStr">
        <is>
          <t>ALVESTA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46259</v>
      </c>
      <c r="E352" s="1" t="n">
        <v>46319</v>
      </c>
      <c r="F352" t="inlineStr">
        <is>
          <t>KRONOBERGS LÄN</t>
        </is>
      </c>
      <c r="G352" t="inlineStr">
        <is>
          <t>ALVESTA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60202-2021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44495</v>
      </c>
      <c r="E353" s="1" t="n">
        <v>46319</v>
      </c>
      <c r="F353" t="inlineStr">
        <is>
          <t>KRONOBERGS LÄN</t>
        </is>
      </c>
      <c r="G353" t="inlineStr">
        <is>
          <t>ALVESTA</t>
        </is>
      </c>
      <c r="I353" t="n">
        <v>8.800000000000001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46319</v>
      </c>
      <c r="F354" t="inlineStr">
        <is>
          <t>KRONOBERGS LÄN</t>
        </is>
      </c>
      <c r="G354" t="inlineStr">
        <is>
          <t>ALVESTA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45628</v>
      </c>
      <c r="E355" s="1" t="n">
        <v>46319</v>
      </c>
      <c r="F355" t="inlineStr">
        <is>
          <t>KRONOBERGS LÄN</t>
        </is>
      </c>
      <c r="G355" t="inlineStr">
        <is>
          <t>ALVESTA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45593</v>
      </c>
      <c r="E356" s="1" t="n">
        <v>46319</v>
      </c>
      <c r="F356" t="inlineStr">
        <is>
          <t>KRONOBERGS LÄN</t>
        </is>
      </c>
      <c r="G356" t="inlineStr">
        <is>
          <t>ALVESTA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46303</v>
      </c>
      <c r="E357" s="1" t="n">
        <v>46319</v>
      </c>
      <c r="F357" t="inlineStr">
        <is>
          <t>KRONOBERGS LÄN</t>
        </is>
      </c>
      <c r="G357" t="inlineStr">
        <is>
          <t>ALVESTA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41789-2026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46303</v>
      </c>
      <c r="E358" s="1" t="n">
        <v>46319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44873</v>
      </c>
      <c r="E359" s="1" t="n">
        <v>46319</v>
      </c>
      <c r="F359" t="inlineStr">
        <is>
          <t>KRONOBERGS LÄN</t>
        </is>
      </c>
      <c r="G359" t="inlineStr">
        <is>
          <t>ALVESTA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45868</v>
      </c>
      <c r="E360" s="1" t="n">
        <v>46319</v>
      </c>
      <c r="F360" t="inlineStr">
        <is>
          <t>KRONOBERGS LÄN</t>
        </is>
      </c>
      <c r="G360" t="inlineStr">
        <is>
          <t>ALVESTA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42103-2026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46304</v>
      </c>
      <c r="E361" s="1" t="n">
        <v>46319</v>
      </c>
      <c r="F361" t="inlineStr">
        <is>
          <t>KRONOBERGS LÄN</t>
        </is>
      </c>
      <c r="G361" t="inlineStr">
        <is>
          <t>ALVESTA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45467</v>
      </c>
      <c r="E362" s="1" t="n">
        <v>46319</v>
      </c>
      <c r="F362" t="inlineStr">
        <is>
          <t>KRONOBERGS LÄN</t>
        </is>
      </c>
      <c r="G362" t="inlineStr">
        <is>
          <t>ALVESTA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41786-2026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46303</v>
      </c>
      <c r="E363" s="1" t="n">
        <v>46319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41790-2026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46303</v>
      </c>
      <c r="E364" s="1" t="n">
        <v>46319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46319</v>
      </c>
      <c r="F365" t="inlineStr">
        <is>
          <t>KRONOBERGS LÄN</t>
        </is>
      </c>
      <c r="G365" t="inlineStr">
        <is>
          <t>ALVESTA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46319</v>
      </c>
      <c r="F366" t="inlineStr">
        <is>
          <t>KRONOBERGS LÄN</t>
        </is>
      </c>
      <c r="G366" t="inlineStr">
        <is>
          <t>ALVESTA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17823-2026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46122</v>
      </c>
      <c r="E367" s="1" t="n">
        <v>46319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17946-2026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46319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46092</v>
      </c>
      <c r="E369" s="1" t="n">
        <v>46319</v>
      </c>
      <c r="F369" t="inlineStr">
        <is>
          <t>KRONOBERGS LÄN</t>
        </is>
      </c>
      <c r="G369" t="inlineStr">
        <is>
          <t>ALVESTA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45414</v>
      </c>
      <c r="E370" s="1" t="n">
        <v>46319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17801-2026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46122</v>
      </c>
      <c r="E371" s="1" t="n">
        <v>46319</v>
      </c>
      <c r="F371" t="inlineStr">
        <is>
          <t>KRONOBERGS LÄN</t>
        </is>
      </c>
      <c r="G371" t="inlineStr">
        <is>
          <t>ALVESTA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46122</v>
      </c>
      <c r="E372" s="1" t="n">
        <v>46319</v>
      </c>
      <c r="F372" t="inlineStr">
        <is>
          <t>KRONOBERGS LÄN</t>
        </is>
      </c>
      <c r="G372" t="inlineStr">
        <is>
          <t>ALVESTA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9417-2024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45359</v>
      </c>
      <c r="E373" s="1" t="n">
        <v>46319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37091-2025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46319</v>
      </c>
      <c r="F374" t="inlineStr">
        <is>
          <t>KRONOBERGS LÄN</t>
        </is>
      </c>
      <c r="G374" t="inlineStr">
        <is>
          <t>ALVESTA</t>
        </is>
      </c>
      <c r="I374" t="n">
        <v>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18863-2026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46319</v>
      </c>
      <c r="F375" t="inlineStr">
        <is>
          <t>KRONOBERGS LÄN</t>
        </is>
      </c>
      <c r="G375" t="inlineStr">
        <is>
          <t>ALVESTA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18858-2026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46319</v>
      </c>
      <c r="F376" t="inlineStr">
        <is>
          <t>KRONOBERGS LÄN</t>
        </is>
      </c>
      <c r="G376" t="inlineStr">
        <is>
          <t>ALVESTA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45305</v>
      </c>
      <c r="E377" s="1" t="n">
        <v>46319</v>
      </c>
      <c r="F377" t="inlineStr">
        <is>
          <t>KRONOBERGS LÄN</t>
        </is>
      </c>
      <c r="G377" t="inlineStr">
        <is>
          <t>ALVESTA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46319</v>
      </c>
      <c r="F378" t="inlineStr">
        <is>
          <t>KRONOBERGS LÄN</t>
        </is>
      </c>
      <c r="G378" t="inlineStr">
        <is>
          <t>ALVESTA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46319</v>
      </c>
      <c r="F379" t="inlineStr">
        <is>
          <t>KRONOBERGS LÄN</t>
        </is>
      </c>
      <c r="G379" t="inlineStr">
        <is>
          <t>ALVESTA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19035-2026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46319</v>
      </c>
      <c r="F380" t="inlineStr">
        <is>
          <t>KRONOBERGS LÄN</t>
        </is>
      </c>
      <c r="G380" t="inlineStr">
        <is>
          <t>ALVESTA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45518</v>
      </c>
      <c r="E381" s="1" t="n">
        <v>46319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45436</v>
      </c>
      <c r="E382" s="1" t="n">
        <v>46319</v>
      </c>
      <c r="F382" t="inlineStr">
        <is>
          <t>KRONOBERGS LÄN</t>
        </is>
      </c>
      <c r="G382" t="inlineStr">
        <is>
          <t>ALVESTA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46319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24573-2024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45460</v>
      </c>
      <c r="E384" s="1" t="n">
        <v>46319</v>
      </c>
      <c r="F384" t="inlineStr">
        <is>
          <t>KRONOBERGS LÄN</t>
        </is>
      </c>
      <c r="G384" t="inlineStr">
        <is>
          <t>ALVESTA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31074-2023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46319</v>
      </c>
      <c r="F385" t="inlineStr">
        <is>
          <t>KRONOBERGS LÄN</t>
        </is>
      </c>
      <c r="G385" t="inlineStr">
        <is>
          <t>ALVESTA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14836-2022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44656</v>
      </c>
      <c r="E386" s="1" t="n">
        <v>46319</v>
      </c>
      <c r="F386" t="inlineStr">
        <is>
          <t>KRONOBERGS LÄN</t>
        </is>
      </c>
      <c r="G386" t="inlineStr">
        <is>
          <t>ALVESTA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45471</v>
      </c>
      <c r="E387" s="1" t="n">
        <v>46319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44818-2024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45574</v>
      </c>
      <c r="E388" s="1" t="n">
        <v>46319</v>
      </c>
      <c r="F388" t="inlineStr">
        <is>
          <t>KRONOBERGS LÄN</t>
        </is>
      </c>
      <c r="G388" t="inlineStr">
        <is>
          <t>ALVESTA</t>
        </is>
      </c>
      <c r="I388" t="n">
        <v>0.2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45300</v>
      </c>
      <c r="E389" s="1" t="n">
        <v>46319</v>
      </c>
      <c r="F389" t="inlineStr">
        <is>
          <t>KRONOBERGS LÄN</t>
        </is>
      </c>
      <c r="G389" t="inlineStr">
        <is>
          <t>ALVESTA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9687-2024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45362</v>
      </c>
      <c r="E390" s="1" t="n">
        <v>46319</v>
      </c>
      <c r="F390" t="inlineStr">
        <is>
          <t>KRONOBERGS LÄN</t>
        </is>
      </c>
      <c r="G390" t="inlineStr">
        <is>
          <t>ALVESTA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46319</v>
      </c>
      <c r="F391" t="inlineStr">
        <is>
          <t>KRONOBERGS LÄN</t>
        </is>
      </c>
      <c r="G391" t="inlineStr">
        <is>
          <t>ALVESTA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46319</v>
      </c>
      <c r="F392" t="inlineStr">
        <is>
          <t>KRONOBERGS LÄN</t>
        </is>
      </c>
      <c r="G392" t="inlineStr">
        <is>
          <t>ALVESTA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35523-2025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46319</v>
      </c>
      <c r="F393" t="inlineStr">
        <is>
          <t>KRONOBERGS LÄN</t>
        </is>
      </c>
      <c r="G393" t="inlineStr">
        <is>
          <t>ALVESTA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45884</v>
      </c>
      <c r="E394" s="1" t="n">
        <v>46319</v>
      </c>
      <c r="F394" t="inlineStr">
        <is>
          <t>KRONOBERGS LÄN</t>
        </is>
      </c>
      <c r="G394" t="inlineStr">
        <is>
          <t>ALVESTA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46319</v>
      </c>
      <c r="F395" t="inlineStr">
        <is>
          <t>KRONOBERGS LÄN</t>
        </is>
      </c>
      <c r="G395" t="inlineStr">
        <is>
          <t>ALVESTA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42697-2026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46309</v>
      </c>
      <c r="E396" s="1" t="n">
        <v>46319</v>
      </c>
      <c r="F396" t="inlineStr">
        <is>
          <t>KRONOBERGS LÄN</t>
        </is>
      </c>
      <c r="G396" t="inlineStr">
        <is>
          <t>ALVESTA</t>
        </is>
      </c>
      <c r="H396" t="inlineStr">
        <is>
          <t>Kommuner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46022-2023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46319</v>
      </c>
      <c r="F397" t="inlineStr">
        <is>
          <t>KRONOBERGS LÄN</t>
        </is>
      </c>
      <c r="G397" t="inlineStr">
        <is>
          <t>ALVESTA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46319</v>
      </c>
      <c r="F398" t="inlineStr">
        <is>
          <t>KRONOBERGS LÄN</t>
        </is>
      </c>
      <c r="G398" t="inlineStr">
        <is>
          <t>ALVESTA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46319</v>
      </c>
      <c r="F399" t="inlineStr">
        <is>
          <t>KRONOBERGS LÄN</t>
        </is>
      </c>
      <c r="G399" t="inlineStr">
        <is>
          <t>ALVESTA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46319</v>
      </c>
      <c r="F400" t="inlineStr">
        <is>
          <t>KRONOBERGS LÄN</t>
        </is>
      </c>
      <c r="G400" t="inlineStr">
        <is>
          <t>ALVESTA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42976-2025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45909</v>
      </c>
      <c r="E401" s="1" t="n">
        <v>46319</v>
      </c>
      <c r="F401" t="inlineStr">
        <is>
          <t>KRONOBERGS LÄN</t>
        </is>
      </c>
      <c r="G401" t="inlineStr">
        <is>
          <t>ALVESTA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46319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7706-2024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46319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44951</v>
      </c>
      <c r="E404" s="1" t="n">
        <v>46319</v>
      </c>
      <c r="F404" t="inlineStr">
        <is>
          <t>KRONOBERGS LÄN</t>
        </is>
      </c>
      <c r="G404" t="inlineStr">
        <is>
          <t>ALVESTA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22534-2024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45447</v>
      </c>
      <c r="E405" s="1" t="n">
        <v>46319</v>
      </c>
      <c r="F405" t="inlineStr">
        <is>
          <t>KRONOBERGS LÄN</t>
        </is>
      </c>
      <c r="G405" t="inlineStr">
        <is>
          <t>ALVESTA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37947-2024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45544</v>
      </c>
      <c r="E406" s="1" t="n">
        <v>46319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45548</v>
      </c>
      <c r="E407" s="1" t="n">
        <v>46319</v>
      </c>
      <c r="F407" t="inlineStr">
        <is>
          <t>KRONOBERGS LÄN</t>
        </is>
      </c>
      <c r="G407" t="inlineStr">
        <is>
          <t>ALVESTA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34214-2024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46319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13648-2024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45390</v>
      </c>
      <c r="E409" s="1" t="n">
        <v>46319</v>
      </c>
      <c r="F409" t="inlineStr">
        <is>
          <t>KRONOBERGS LÄN</t>
        </is>
      </c>
      <c r="G409" t="inlineStr">
        <is>
          <t>ALVESTA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46319</v>
      </c>
      <c r="F410" t="inlineStr">
        <is>
          <t>KRONOBERGS LÄN</t>
        </is>
      </c>
      <c r="G410" t="inlineStr">
        <is>
          <t>ALVESTA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45385</v>
      </c>
      <c r="E411" s="1" t="n">
        <v>46319</v>
      </c>
      <c r="F411" t="inlineStr">
        <is>
          <t>KRONOBERGS LÄN</t>
        </is>
      </c>
      <c r="G411" t="inlineStr">
        <is>
          <t>ALVESTA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9391-2024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46319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9393-2024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45359</v>
      </c>
      <c r="E413" s="1" t="n">
        <v>46319</v>
      </c>
      <c r="F413" t="inlineStr">
        <is>
          <t>KRONOBERGS LÄN</t>
        </is>
      </c>
      <c r="G413" t="inlineStr">
        <is>
          <t>ALVESTA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46314</v>
      </c>
      <c r="E414" s="1" t="n">
        <v>46319</v>
      </c>
      <c r="F414" t="inlineStr">
        <is>
          <t>KRONOBERGS LÄN</t>
        </is>
      </c>
      <c r="G414" t="inlineStr">
        <is>
          <t>ALVESTA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46314</v>
      </c>
      <c r="E415" s="1" t="n">
        <v>46319</v>
      </c>
      <c r="F415" t="inlineStr">
        <is>
          <t>KRONOBERGS LÄN</t>
        </is>
      </c>
      <c r="G415" t="inlineStr">
        <is>
          <t>ALVESTA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45840</v>
      </c>
      <c r="E416" s="1" t="n">
        <v>46319</v>
      </c>
      <c r="F416" t="inlineStr">
        <is>
          <t>KRONOBERGS LÄN</t>
        </is>
      </c>
      <c r="G416" t="inlineStr">
        <is>
          <t>ALVESTA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45546</v>
      </c>
      <c r="E417" s="1" t="n">
        <v>46319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46319</v>
      </c>
      <c r="F418" t="inlineStr">
        <is>
          <t>KRONOBERGS LÄN</t>
        </is>
      </c>
      <c r="G418" t="inlineStr">
        <is>
          <t>ALVESTA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59225-2025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46319</v>
      </c>
      <c r="F419" t="inlineStr">
        <is>
          <t>KRONOBERGS LÄN</t>
        </is>
      </c>
      <c r="G419" t="inlineStr">
        <is>
          <t>ALVESTA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35601-2025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45858</v>
      </c>
      <c r="E420" s="1" t="n">
        <v>46319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46269</v>
      </c>
      <c r="E421" s="1" t="n">
        <v>46319</v>
      </c>
      <c r="F421" t="inlineStr">
        <is>
          <t>KRONOBERGS LÄN</t>
        </is>
      </c>
      <c r="G421" t="inlineStr">
        <is>
          <t>ALVESTA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16355-2024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45407</v>
      </c>
      <c r="E422" s="1" t="n">
        <v>46319</v>
      </c>
      <c r="F422" t="inlineStr">
        <is>
          <t>KRONOBERGS LÄN</t>
        </is>
      </c>
      <c r="G422" t="inlineStr">
        <is>
          <t>ALVESTA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43959-2022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44838</v>
      </c>
      <c r="E423" s="1" t="n">
        <v>46319</v>
      </c>
      <c r="F423" t="inlineStr">
        <is>
          <t>KRONOBERGS LÄN</t>
        </is>
      </c>
      <c r="G423" t="inlineStr">
        <is>
          <t>ALVESTA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46314</v>
      </c>
      <c r="E424" s="1" t="n">
        <v>46319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46319</v>
      </c>
      <c r="F425" t="inlineStr">
        <is>
          <t>KRONOBERGS LÄN</t>
        </is>
      </c>
      <c r="G425" t="inlineStr">
        <is>
          <t>ALVESTA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43846-2026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46316</v>
      </c>
      <c r="E426" s="1" t="n">
        <v>46319</v>
      </c>
      <c r="F426" t="inlineStr">
        <is>
          <t>KRONOBERGS LÄN</t>
        </is>
      </c>
      <c r="G426" t="inlineStr">
        <is>
          <t>ALVESTA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42467-2024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46319</v>
      </c>
      <c r="F427" t="inlineStr">
        <is>
          <t>KRONOBERGS LÄN</t>
        </is>
      </c>
      <c r="G427" t="inlineStr">
        <is>
          <t>ALVESTA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46319</v>
      </c>
      <c r="F428" t="inlineStr">
        <is>
          <t>KRONOBERGS LÄN</t>
        </is>
      </c>
      <c r="G428" t="inlineStr">
        <is>
          <t>ALVESTA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46273</v>
      </c>
      <c r="E429" s="1" t="n">
        <v>46319</v>
      </c>
      <c r="F429" t="inlineStr">
        <is>
          <t>KRONOBERGS LÄN</t>
        </is>
      </c>
      <c r="G429" t="inlineStr">
        <is>
          <t>ALVESTA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43716-2026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46316</v>
      </c>
      <c r="E430" s="1" t="n">
        <v>46319</v>
      </c>
      <c r="F430" t="inlineStr">
        <is>
          <t>KRONOBERGS LÄN</t>
        </is>
      </c>
      <c r="G430" t="inlineStr">
        <is>
          <t>ALVESTA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43740-2026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46316</v>
      </c>
      <c r="E431" s="1" t="n">
        <v>46319</v>
      </c>
      <c r="F431" t="inlineStr">
        <is>
          <t>KRONOBERGS LÄN</t>
        </is>
      </c>
      <c r="G431" t="inlineStr">
        <is>
          <t>ALVESTA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43849-2026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46316</v>
      </c>
      <c r="E432" s="1" t="n">
        <v>46319</v>
      </c>
      <c r="F432" t="inlineStr">
        <is>
          <t>KRONOBERGS LÄN</t>
        </is>
      </c>
      <c r="G432" t="inlineStr">
        <is>
          <t>ALVESTA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46319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36943-2026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46273</v>
      </c>
      <c r="E434" s="1" t="n">
        <v>46319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44600</v>
      </c>
      <c r="E435" s="1" t="n">
        <v>46319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44972</v>
      </c>
      <c r="E436" s="1" t="n">
        <v>46319</v>
      </c>
      <c r="F436" t="inlineStr">
        <is>
          <t>KRONOBERGS LÄN</t>
        </is>
      </c>
      <c r="G436" t="inlineStr">
        <is>
          <t>ALVESTA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45827</v>
      </c>
      <c r="E437" s="1" t="n">
        <v>46319</v>
      </c>
      <c r="F437" t="inlineStr">
        <is>
          <t>KRONOBERGS LÄN</t>
        </is>
      </c>
      <c r="G437" t="inlineStr">
        <is>
          <t>ALVESTA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45338</v>
      </c>
      <c r="E438" s="1" t="n">
        <v>46319</v>
      </c>
      <c r="F438" t="inlineStr">
        <is>
          <t>KRONOBERGS LÄN</t>
        </is>
      </c>
      <c r="G438" t="inlineStr">
        <is>
          <t>ALVESTA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44005-2026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46317</v>
      </c>
      <c r="E439" s="1" t="n">
        <v>46319</v>
      </c>
      <c r="F439" t="inlineStr">
        <is>
          <t>KRONOBERGS LÄN</t>
        </is>
      </c>
      <c r="G439" t="inlineStr">
        <is>
          <t>ALVESTA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44006-2026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46317</v>
      </c>
      <c r="E440" s="1" t="n">
        <v>46319</v>
      </c>
      <c r="F440" t="inlineStr">
        <is>
          <t>KRONOBERGS LÄN</t>
        </is>
      </c>
      <c r="G440" t="inlineStr">
        <is>
          <t>ALVESTA</t>
        </is>
      </c>
      <c r="H440" t="inlineStr">
        <is>
          <t>Övriga Aktiebolag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46319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46317</v>
      </c>
      <c r="E442" s="1" t="n">
        <v>46319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20926-2026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46319</v>
      </c>
      <c r="F443" t="inlineStr">
        <is>
          <t>KRONOBERGS LÄN</t>
        </is>
      </c>
      <c r="G443" t="inlineStr">
        <is>
          <t>ALVESTA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46274</v>
      </c>
      <c r="E444" s="1" t="n">
        <v>46319</v>
      </c>
      <c r="F444" t="inlineStr">
        <is>
          <t>KRONOBERGS LÄN</t>
        </is>
      </c>
      <c r="G444" t="inlineStr">
        <is>
          <t>ALVESTA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46317</v>
      </c>
      <c r="E445" s="1" t="n">
        <v>46319</v>
      </c>
      <c r="F445" t="inlineStr">
        <is>
          <t>KRONOBERGS LÄN</t>
        </is>
      </c>
      <c r="G445" t="inlineStr">
        <is>
          <t>ALVESTA</t>
        </is>
      </c>
      <c r="H445" t="inlineStr">
        <is>
          <t>Övriga Aktiebolag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46317</v>
      </c>
      <c r="E446" s="1" t="n">
        <v>46319</v>
      </c>
      <c r="F446" t="inlineStr">
        <is>
          <t>KRONOBERGS LÄN</t>
        </is>
      </c>
      <c r="G446" t="inlineStr">
        <is>
          <t>ALVESTA</t>
        </is>
      </c>
      <c r="H446" t="inlineStr">
        <is>
          <t>Övriga Aktiebolag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46319</v>
      </c>
      <c r="F447" t="inlineStr">
        <is>
          <t>KRONOBERGS LÄN</t>
        </is>
      </c>
      <c r="G447" t="inlineStr">
        <is>
          <t>ALVESTA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60487-2023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45259</v>
      </c>
      <c r="E448" s="1" t="n">
        <v>46319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50871-2023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46319</v>
      </c>
      <c r="F449" t="inlineStr">
        <is>
          <t>KRONOBERGS LÄN</t>
        </is>
      </c>
      <c r="G449" t="inlineStr">
        <is>
          <t>ALVESTA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32759-2022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46319</v>
      </c>
      <c r="F450" t="inlineStr">
        <is>
          <t>KRONOBERGS LÄN</t>
        </is>
      </c>
      <c r="G450" t="inlineStr">
        <is>
          <t>ALVESTA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46319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52082-2024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45608</v>
      </c>
      <c r="E452" s="1" t="n">
        <v>46319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21987-2023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46319</v>
      </c>
      <c r="F453" t="inlineStr">
        <is>
          <t>KRONOBERGS LÄN</t>
        </is>
      </c>
      <c r="G453" t="inlineStr">
        <is>
          <t>ALVESTA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8671-2025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45712</v>
      </c>
      <c r="E454" s="1" t="n">
        <v>46319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26381-2022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44735</v>
      </c>
      <c r="E455" s="1" t="n">
        <v>46319</v>
      </c>
      <c r="F455" t="inlineStr">
        <is>
          <t>KRONOBERGS LÄN</t>
        </is>
      </c>
      <c r="G455" t="inlineStr">
        <is>
          <t>ALVESTA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53425-2025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46319</v>
      </c>
      <c r="F456" t="inlineStr">
        <is>
          <t>KRONOBERGS LÄN</t>
        </is>
      </c>
      <c r="G456" t="inlineStr">
        <is>
          <t>ALVESTA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35434-2025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45854</v>
      </c>
      <c r="E457" s="1" t="n">
        <v>46319</v>
      </c>
      <c r="F457" t="inlineStr">
        <is>
          <t>KRONOBERGS LÄN</t>
        </is>
      </c>
      <c r="G457" t="inlineStr">
        <is>
          <t>ALVESTA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45426</v>
      </c>
      <c r="E458" s="1" t="n">
        <v>46319</v>
      </c>
      <c r="F458" t="inlineStr">
        <is>
          <t>KRONOBERGS LÄN</t>
        </is>
      </c>
      <c r="G458" t="inlineStr">
        <is>
          <t>ALVESTA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25945-2023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46319</v>
      </c>
      <c r="F459" t="inlineStr">
        <is>
          <t>KRONOBERGS LÄN</t>
        </is>
      </c>
      <c r="G459" t="inlineStr">
        <is>
          <t>ALVESTA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45198</v>
      </c>
      <c r="E460" s="1" t="n">
        <v>46319</v>
      </c>
      <c r="F460" t="inlineStr">
        <is>
          <t>KRONOBERGS LÄN</t>
        </is>
      </c>
      <c r="G460" t="inlineStr">
        <is>
          <t>ALVESTA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45075</v>
      </c>
      <c r="E461" s="1" t="n">
        <v>46319</v>
      </c>
      <c r="F461" t="inlineStr">
        <is>
          <t>KRONOBERGS LÄN</t>
        </is>
      </c>
      <c r="G461" t="inlineStr">
        <is>
          <t>ALVESTA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10861-2023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44991</v>
      </c>
      <c r="E462" s="1" t="n">
        <v>46319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45079</v>
      </c>
      <c r="E463" s="1" t="n">
        <v>46319</v>
      </c>
      <c r="F463" t="inlineStr">
        <is>
          <t>KRONOBERGS LÄN</t>
        </is>
      </c>
      <c r="G463" t="inlineStr">
        <is>
          <t>ALVESTA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26225-2022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44735</v>
      </c>
      <c r="E464" s="1" t="n">
        <v>46319</v>
      </c>
      <c r="F464" t="inlineStr">
        <is>
          <t>KRONOBERGS LÄN</t>
        </is>
      </c>
      <c r="G464" t="inlineStr">
        <is>
          <t>ALVESTA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36862-2022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44805</v>
      </c>
      <c r="E465" s="1" t="n">
        <v>46319</v>
      </c>
      <c r="F465" t="inlineStr">
        <is>
          <t>KRONOBERGS LÄN</t>
        </is>
      </c>
      <c r="G465" t="inlineStr">
        <is>
          <t>ALVESTA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39263-2023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45166</v>
      </c>
      <c r="E466" s="1" t="n">
        <v>46319</v>
      </c>
      <c r="F466" t="inlineStr">
        <is>
          <t>KRONOBERGS LÄN</t>
        </is>
      </c>
      <c r="G466" t="inlineStr">
        <is>
          <t>ALVESTA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39309-2023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46319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13126-2024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46319</v>
      </c>
      <c r="F468" t="inlineStr">
        <is>
          <t>KRONOBERGS LÄN</t>
        </is>
      </c>
      <c r="G468" t="inlineStr">
        <is>
          <t>ALVESTA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28336-2022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44747</v>
      </c>
      <c r="E469" s="1" t="n">
        <v>46319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53458-2024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45614</v>
      </c>
      <c r="E470" s="1" t="n">
        <v>46319</v>
      </c>
      <c r="F470" t="inlineStr">
        <is>
          <t>KRONOBERGS LÄN</t>
        </is>
      </c>
      <c r="G470" t="inlineStr">
        <is>
          <t>ALVESTA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53459-2024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45614</v>
      </c>
      <c r="E471" s="1" t="n">
        <v>46319</v>
      </c>
      <c r="F471" t="inlineStr">
        <is>
          <t>KRONOBERGS LÄN</t>
        </is>
      </c>
      <c r="G471" t="inlineStr">
        <is>
          <t>ALVESTA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45135</v>
      </c>
      <c r="E472" s="1" t="n">
        <v>46319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44783</v>
      </c>
      <c r="E473" s="1" t="n">
        <v>46319</v>
      </c>
      <c r="F473" t="inlineStr">
        <is>
          <t>KRONOBERGS LÄN</t>
        </is>
      </c>
      <c r="G473" t="inlineStr">
        <is>
          <t>ALVESTA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38859-2023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46319</v>
      </c>
      <c r="F474" t="inlineStr">
        <is>
          <t>KRONOBERGS LÄN</t>
        </is>
      </c>
      <c r="G474" t="inlineStr">
        <is>
          <t>ALVESTA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45673</v>
      </c>
      <c r="E475" s="1" t="n">
        <v>46319</v>
      </c>
      <c r="F475" t="inlineStr">
        <is>
          <t>KRONOBERGS LÄN</t>
        </is>
      </c>
      <c r="G475" t="inlineStr">
        <is>
          <t>ALVESTA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46319</v>
      </c>
      <c r="F476" t="inlineStr">
        <is>
          <t>KRONOBERGS LÄN</t>
        </is>
      </c>
      <c r="G476" t="inlineStr">
        <is>
          <t>ALVESTA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45664</v>
      </c>
      <c r="E477" s="1" t="n">
        <v>46319</v>
      </c>
      <c r="F477" t="inlineStr">
        <is>
          <t>KRONOBERGS LÄN</t>
        </is>
      </c>
      <c r="G477" t="inlineStr">
        <is>
          <t>ALVESTA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58648-2024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45635</v>
      </c>
      <c r="E478" s="1" t="n">
        <v>46319</v>
      </c>
      <c r="F478" t="inlineStr">
        <is>
          <t>KRONOBERGS LÄN</t>
        </is>
      </c>
      <c r="G478" t="inlineStr">
        <is>
          <t>ALVESTA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10860-2025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46319</v>
      </c>
      <c r="F479" t="inlineStr">
        <is>
          <t>KRONOBERGS LÄN</t>
        </is>
      </c>
      <c r="G479" t="inlineStr">
        <is>
          <t>ALVESTA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13362-2023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45005</v>
      </c>
      <c r="E480" s="1" t="n">
        <v>46319</v>
      </c>
      <c r="F480" t="inlineStr">
        <is>
          <t>KRONOBERGS LÄN</t>
        </is>
      </c>
      <c r="G480" t="inlineStr">
        <is>
          <t>ALVESTA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46319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40049-2022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44820</v>
      </c>
      <c r="E482" s="1" t="n">
        <v>46319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46319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60770-2024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45644</v>
      </c>
      <c r="E484" s="1" t="n">
        <v>46319</v>
      </c>
      <c r="F484" t="inlineStr">
        <is>
          <t>KRONOBERGS LÄN</t>
        </is>
      </c>
      <c r="G484" t="inlineStr">
        <is>
          <t>ALVESTA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46319</v>
      </c>
      <c r="F485" t="inlineStr">
        <is>
          <t>KRONOBERGS LÄN</t>
        </is>
      </c>
      <c r="G485" t="inlineStr">
        <is>
          <t>ALVESTA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45476</v>
      </c>
      <c r="E486" s="1" t="n">
        <v>46319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18677-2025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45763</v>
      </c>
      <c r="E487" s="1" t="n">
        <v>46319</v>
      </c>
      <c r="F487" t="inlineStr">
        <is>
          <t>KRONOBERGS LÄN</t>
        </is>
      </c>
      <c r="G487" t="inlineStr">
        <is>
          <t>ALVESTA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46319</v>
      </c>
      <c r="F488" t="inlineStr">
        <is>
          <t>KRONOBERGS LÄN</t>
        </is>
      </c>
      <c r="G488" t="inlineStr">
        <is>
          <t>ALVESTA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62230-2023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45267</v>
      </c>
      <c r="E489" s="1" t="n">
        <v>46319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45247</v>
      </c>
      <c r="E490" s="1" t="n">
        <v>46319</v>
      </c>
      <c r="F490" t="inlineStr">
        <is>
          <t>KRONOBERGS LÄN</t>
        </is>
      </c>
      <c r="G490" t="inlineStr">
        <is>
          <t>ALVESTA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36750-2022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44805</v>
      </c>
      <c r="E491" s="1" t="n">
        <v>46319</v>
      </c>
      <c r="F491" t="inlineStr">
        <is>
          <t>KRONOBERGS LÄN</t>
        </is>
      </c>
      <c r="G491" t="inlineStr">
        <is>
          <t>ALVESTA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19790-2025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45771</v>
      </c>
      <c r="E492" s="1" t="n">
        <v>46319</v>
      </c>
      <c r="F492" t="inlineStr">
        <is>
          <t>KRONOBERGS LÄN</t>
        </is>
      </c>
      <c r="G492" t="inlineStr">
        <is>
          <t>ALVESTA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34220-2024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46319</v>
      </c>
      <c r="F493" t="inlineStr">
        <is>
          <t>KRONOBERGS LÄN</t>
        </is>
      </c>
      <c r="G493" t="inlineStr">
        <is>
          <t>ALVESTA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45532</v>
      </c>
      <c r="E494" s="1" t="n">
        <v>46319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45247</v>
      </c>
      <c r="E495" s="1" t="n">
        <v>46319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46319</v>
      </c>
      <c r="F496" t="inlineStr">
        <is>
          <t>KRONOBERGS LÄN</t>
        </is>
      </c>
      <c r="G496" t="inlineStr">
        <is>
          <t>ALVESTA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46319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45538</v>
      </c>
      <c r="E498" s="1" t="n">
        <v>46319</v>
      </c>
      <c r="F498" t="inlineStr">
        <is>
          <t>KRONOBERGS LÄN</t>
        </is>
      </c>
      <c r="G498" t="inlineStr">
        <is>
          <t>ALVESTA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51210-2022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44868</v>
      </c>
      <c r="E499" s="1" t="n">
        <v>46319</v>
      </c>
      <c r="F499" t="inlineStr">
        <is>
          <t>KRONOBERGS LÄN</t>
        </is>
      </c>
      <c r="G499" t="inlineStr">
        <is>
          <t>ALVESTA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44749</v>
      </c>
      <c r="E500" s="1" t="n">
        <v>46319</v>
      </c>
      <c r="F500" t="inlineStr">
        <is>
          <t>KRONOBERGS LÄN</t>
        </is>
      </c>
      <c r="G500" t="inlineStr">
        <is>
          <t>ALVESTA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44880</v>
      </c>
      <c r="E501" s="1" t="n">
        <v>46319</v>
      </c>
      <c r="F501" t="inlineStr">
        <is>
          <t>KRONOBERGS LÄN</t>
        </is>
      </c>
      <c r="G501" t="inlineStr">
        <is>
          <t>ALVESTA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10198-2025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46319</v>
      </c>
      <c r="F502" t="inlineStr">
        <is>
          <t>KRONOBERGS LÄN</t>
        </is>
      </c>
      <c r="G502" t="inlineStr">
        <is>
          <t>ALVESTA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34267-2023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45128</v>
      </c>
      <c r="E503" s="1" t="n">
        <v>46319</v>
      </c>
      <c r="F503" t="inlineStr">
        <is>
          <t>KRONOBERGS LÄN</t>
        </is>
      </c>
      <c r="G503" t="inlineStr">
        <is>
          <t>ALVESTA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45337</v>
      </c>
      <c r="E504" s="1" t="n">
        <v>46319</v>
      </c>
      <c r="F504" t="inlineStr">
        <is>
          <t>KRONOBERGS LÄN</t>
        </is>
      </c>
      <c r="G504" t="inlineStr">
        <is>
          <t>ALVESTA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45555</v>
      </c>
      <c r="E505" s="1" t="n">
        <v>46319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45078</v>
      </c>
      <c r="E506" s="1" t="n">
        <v>46319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45296</v>
      </c>
      <c r="E507" s="1" t="n">
        <v>46319</v>
      </c>
      <c r="F507" t="inlineStr">
        <is>
          <t>KRONOBERGS LÄN</t>
        </is>
      </c>
      <c r="G507" t="inlineStr">
        <is>
          <t>ALVESTA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15171-2025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45744</v>
      </c>
      <c r="E508" s="1" t="n">
        <v>46319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44935</v>
      </c>
      <c r="E509" s="1" t="n">
        <v>46319</v>
      </c>
      <c r="F509" t="inlineStr">
        <is>
          <t>KRONOBERGS LÄN</t>
        </is>
      </c>
      <c r="G509" t="inlineStr">
        <is>
          <t>ALVESTA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46319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46319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20609-2024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45436</v>
      </c>
      <c r="E512" s="1" t="n">
        <v>46319</v>
      </c>
      <c r="F512" t="inlineStr">
        <is>
          <t>KRONOBERGS LÄN</t>
        </is>
      </c>
      <c r="G512" t="inlineStr">
        <is>
          <t>ALVESTA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38875-2022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44816</v>
      </c>
      <c r="E513" s="1" t="n">
        <v>46319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45015</v>
      </c>
      <c r="E514" s="1" t="n">
        <v>46319</v>
      </c>
      <c r="F514" t="inlineStr">
        <is>
          <t>KRONOBERGS LÄN</t>
        </is>
      </c>
      <c r="G514" t="inlineStr">
        <is>
          <t>ALVESTA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32374-2023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46319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44907</v>
      </c>
      <c r="E516" s="1" t="n">
        <v>46319</v>
      </c>
      <c r="F516" t="inlineStr">
        <is>
          <t>KRONOBERGS LÄN</t>
        </is>
      </c>
      <c r="G516" t="inlineStr">
        <is>
          <t>ALVESTA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45114</v>
      </c>
      <c r="E517" s="1" t="n">
        <v>46319</v>
      </c>
      <c r="F517" t="inlineStr">
        <is>
          <t>KRONOBERGS LÄN</t>
        </is>
      </c>
      <c r="G517" t="inlineStr">
        <is>
          <t>ALVESTA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14941-2023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45015</v>
      </c>
      <c r="E518" s="1" t="n">
        <v>46319</v>
      </c>
      <c r="F518" t="inlineStr">
        <is>
          <t>KRONOBERGS LÄN</t>
        </is>
      </c>
      <c r="G518" t="inlineStr">
        <is>
          <t>ALVESTA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45337</v>
      </c>
      <c r="E519" s="1" t="n">
        <v>46319</v>
      </c>
      <c r="F519" t="inlineStr">
        <is>
          <t>KRONOBERGS LÄN</t>
        </is>
      </c>
      <c r="G519" t="inlineStr">
        <is>
          <t>ALVESTA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46319</v>
      </c>
      <c r="F520" t="inlineStr">
        <is>
          <t>KRONOBERGS LÄN</t>
        </is>
      </c>
      <c r="G520" t="inlineStr">
        <is>
          <t>ALVESTA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6559-2023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44966</v>
      </c>
      <c r="E521" s="1" t="n">
        <v>46319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62645-2022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44925</v>
      </c>
      <c r="E522" s="1" t="n">
        <v>46319</v>
      </c>
      <c r="F522" t="inlineStr">
        <is>
          <t>KRONOBERGS LÄN</t>
        </is>
      </c>
      <c r="G522" t="inlineStr">
        <is>
          <t>ALVESTA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44601</v>
      </c>
      <c r="E523" s="1" t="n">
        <v>46319</v>
      </c>
      <c r="F523" t="inlineStr">
        <is>
          <t>KRONOBERGS LÄN</t>
        </is>
      </c>
      <c r="G523" t="inlineStr">
        <is>
          <t>ALVESTA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25615-2024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45463</v>
      </c>
      <c r="E524" s="1" t="n">
        <v>46319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37278-2024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46319</v>
      </c>
      <c r="F525" t="inlineStr">
        <is>
          <t>KRONOBERGS LÄN</t>
        </is>
      </c>
      <c r="G525" t="inlineStr">
        <is>
          <t>ALVESTA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45482</v>
      </c>
      <c r="E526" s="1" t="n">
        <v>46319</v>
      </c>
      <c r="F526" t="inlineStr">
        <is>
          <t>KRONOBERGS LÄN</t>
        </is>
      </c>
      <c r="G526" t="inlineStr">
        <is>
          <t>ALVESTA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45000</v>
      </c>
      <c r="E527" s="1" t="n">
        <v>46319</v>
      </c>
      <c r="F527" t="inlineStr">
        <is>
          <t>KRONOBERGS LÄN</t>
        </is>
      </c>
      <c r="G527" t="inlineStr">
        <is>
          <t>ALVESTA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42364-2024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45563</v>
      </c>
      <c r="E528" s="1" t="n">
        <v>46319</v>
      </c>
      <c r="F528" t="inlineStr">
        <is>
          <t>KRONOBERGS LÄN</t>
        </is>
      </c>
      <c r="G528" t="inlineStr">
        <is>
          <t>ALVESTA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42397-2023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45180</v>
      </c>
      <c r="E529" s="1" t="n">
        <v>46319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46319</v>
      </c>
      <c r="F530" t="inlineStr">
        <is>
          <t>KRONOBERGS LÄN</t>
        </is>
      </c>
      <c r="G530" t="inlineStr">
        <is>
          <t>ALVESTA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46319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46319</v>
      </c>
      <c r="F532" t="inlineStr">
        <is>
          <t>KRONOBERGS LÄN</t>
        </is>
      </c>
      <c r="G532" t="inlineStr">
        <is>
          <t>ALVESTA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17787-2024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45418</v>
      </c>
      <c r="E533" s="1" t="n">
        <v>46319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45418</v>
      </c>
      <c r="E534" s="1" t="n">
        <v>46319</v>
      </c>
      <c r="F534" t="inlineStr">
        <is>
          <t>KRONOBERGS LÄN</t>
        </is>
      </c>
      <c r="G534" t="inlineStr">
        <is>
          <t>ALVESTA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53452-2024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45614</v>
      </c>
      <c r="E535" s="1" t="n">
        <v>46319</v>
      </c>
      <c r="F535" t="inlineStr">
        <is>
          <t>KRONOBERGS LÄN</t>
        </is>
      </c>
      <c r="G535" t="inlineStr">
        <is>
          <t>ALVESTA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60157-2024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45642</v>
      </c>
      <c r="E536" s="1" t="n">
        <v>46319</v>
      </c>
      <c r="F536" t="inlineStr">
        <is>
          <t>KRONOBERGS LÄN</t>
        </is>
      </c>
      <c r="G536" t="inlineStr">
        <is>
          <t>ALVESTA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38890-2023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46319</v>
      </c>
      <c r="F537" t="inlineStr">
        <is>
          <t>KRONOBERGS LÄN</t>
        </is>
      </c>
      <c r="G537" t="inlineStr">
        <is>
          <t>ALVESTA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6835-2024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46319</v>
      </c>
      <c r="F538" t="inlineStr">
        <is>
          <t>KRONOBERGS LÄN</t>
        </is>
      </c>
      <c r="G538" t="inlineStr">
        <is>
          <t>ALVESTA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33059-2024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45517</v>
      </c>
      <c r="E539" s="1" t="n">
        <v>46319</v>
      </c>
      <c r="F539" t="inlineStr">
        <is>
          <t>KRONOBERGS LÄN</t>
        </is>
      </c>
      <c r="G539" t="inlineStr">
        <is>
          <t>ALVESTA</t>
        </is>
      </c>
      <c r="H539" t="inlineStr">
        <is>
          <t>Kyrkan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52110-2024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45608</v>
      </c>
      <c r="E540" s="1" t="n">
        <v>46319</v>
      </c>
      <c r="F540" t="inlineStr">
        <is>
          <t>KRONOBERGS LÄN</t>
        </is>
      </c>
      <c r="G540" t="inlineStr">
        <is>
          <t>ALVESTA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45699</v>
      </c>
      <c r="E541" s="1" t="n">
        <v>46319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53226-2024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45613</v>
      </c>
      <c r="E542" s="1" t="n">
        <v>46319</v>
      </c>
      <c r="F542" t="inlineStr">
        <is>
          <t>KRONOBERGS LÄN</t>
        </is>
      </c>
      <c r="G542" t="inlineStr">
        <is>
          <t>ALVESTA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46319</v>
      </c>
      <c r="F543" t="inlineStr">
        <is>
          <t>KRONOBERGS LÄN</t>
        </is>
      </c>
      <c r="G543" t="inlineStr">
        <is>
          <t>ALVESTA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45009</v>
      </c>
      <c r="E544" s="1" t="n">
        <v>46319</v>
      </c>
      <c r="F544" t="inlineStr">
        <is>
          <t>KRONOBERGS LÄN</t>
        </is>
      </c>
      <c r="G544" t="inlineStr">
        <is>
          <t>ALVESTA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46319</v>
      </c>
      <c r="F545" t="inlineStr">
        <is>
          <t>KRONOBERGS LÄN</t>
        </is>
      </c>
      <c r="G545" t="inlineStr">
        <is>
          <t>ALVESTA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58299-2024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45632</v>
      </c>
      <c r="E546" s="1" t="n">
        <v>46319</v>
      </c>
      <c r="F546" t="inlineStr">
        <is>
          <t>KRONOBERGS LÄN</t>
        </is>
      </c>
      <c r="G546" t="inlineStr">
        <is>
          <t>ALVESTA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52087-2024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45608</v>
      </c>
      <c r="E547" s="1" t="n">
        <v>46319</v>
      </c>
      <c r="F547" t="inlineStr">
        <is>
          <t>KRONOBERGS LÄN</t>
        </is>
      </c>
      <c r="G547" t="inlineStr">
        <is>
          <t>ALVESTA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22563-2024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45447</v>
      </c>
      <c r="E548" s="1" t="n">
        <v>46319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45210</v>
      </c>
      <c r="E549" s="1" t="n">
        <v>46319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33113-2023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46319</v>
      </c>
      <c r="F550" t="inlineStr">
        <is>
          <t>KRONOBERGS LÄN</t>
        </is>
      </c>
      <c r="G550" t="inlineStr">
        <is>
          <t>ALVESTA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760-2022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44569</v>
      </c>
      <c r="E551" s="1" t="n">
        <v>46319</v>
      </c>
      <c r="F551" t="inlineStr">
        <is>
          <t>KRONOBERGS LÄN</t>
        </is>
      </c>
      <c r="G551" t="inlineStr">
        <is>
          <t>ALVESTA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44606</v>
      </c>
      <c r="E552" s="1" t="n">
        <v>46319</v>
      </c>
      <c r="F552" t="inlineStr">
        <is>
          <t>KRONOBERGS LÄN</t>
        </is>
      </c>
      <c r="G552" t="inlineStr">
        <is>
          <t>ALVESTA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12818-2025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45733</v>
      </c>
      <c r="E553" s="1" t="n">
        <v>46319</v>
      </c>
      <c r="F553" t="inlineStr">
        <is>
          <t>KRONOBERGS LÄN</t>
        </is>
      </c>
      <c r="G553" t="inlineStr">
        <is>
          <t>ALVESTA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50976-2023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46319</v>
      </c>
      <c r="F554" t="inlineStr">
        <is>
          <t>KRONOBERGS LÄN</t>
        </is>
      </c>
      <c r="G554" t="inlineStr">
        <is>
          <t>ALVESTA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27247-2024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46319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27252-2024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45471</v>
      </c>
      <c r="E556" s="1" t="n">
        <v>46319</v>
      </c>
      <c r="F556" t="inlineStr">
        <is>
          <t>KRONOBERGS LÄN</t>
        </is>
      </c>
      <c r="G556" t="inlineStr">
        <is>
          <t>ALVESTA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52040-2024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46319</v>
      </c>
      <c r="F557" t="inlineStr">
        <is>
          <t>KRONOBERGS LÄN</t>
        </is>
      </c>
      <c r="G557" t="inlineStr">
        <is>
          <t>ALVESTA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46319</v>
      </c>
      <c r="F558" t="inlineStr">
        <is>
          <t>KRONOBERGS LÄN</t>
        </is>
      </c>
      <c r="G558" t="inlineStr">
        <is>
          <t>ALVESTA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45338</v>
      </c>
      <c r="E559" s="1" t="n">
        <v>46319</v>
      </c>
      <c r="F559" t="inlineStr">
        <is>
          <t>KRONOBERGS LÄN</t>
        </is>
      </c>
      <c r="G559" t="inlineStr">
        <is>
          <t>ALVESTA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45345</v>
      </c>
      <c r="E560" s="1" t="n">
        <v>46319</v>
      </c>
      <c r="F560" t="inlineStr">
        <is>
          <t>KRONOBERGS LÄN</t>
        </is>
      </c>
      <c r="G560" t="inlineStr">
        <is>
          <t>ALVESTA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45608</v>
      </c>
      <c r="E561" s="1" t="n">
        <v>46319</v>
      </c>
      <c r="F561" t="inlineStr">
        <is>
          <t>KRONOBERGS LÄN</t>
        </is>
      </c>
      <c r="G561" t="inlineStr">
        <is>
          <t>ALVESTA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67331-2021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44523</v>
      </c>
      <c r="E562" s="1" t="n">
        <v>46319</v>
      </c>
      <c r="F562" t="inlineStr">
        <is>
          <t>KRONOBERGS LÄN</t>
        </is>
      </c>
      <c r="G562" t="inlineStr">
        <is>
          <t>ALVESTA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44581</v>
      </c>
      <c r="E563" s="1" t="n">
        <v>46319</v>
      </c>
      <c r="F563" t="inlineStr">
        <is>
          <t>KRONOBERGS LÄN</t>
        </is>
      </c>
      <c r="G563" t="inlineStr">
        <is>
          <t>ALVESTA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52048-2024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45608</v>
      </c>
      <c r="E564" s="1" t="n">
        <v>46319</v>
      </c>
      <c r="F564" t="inlineStr">
        <is>
          <t>KRONOBERGS LÄN</t>
        </is>
      </c>
      <c r="G564" t="inlineStr">
        <is>
          <t>ALVESTA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42905-2023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46319</v>
      </c>
      <c r="F565" t="inlineStr">
        <is>
          <t>KRONOBERGS LÄN</t>
        </is>
      </c>
      <c r="G565" t="inlineStr">
        <is>
          <t>ALVESTA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46319</v>
      </c>
      <c r="F566" t="inlineStr">
        <is>
          <t>KRONOBERGS LÄN</t>
        </is>
      </c>
      <c r="G566" t="inlineStr">
        <is>
          <t>ALVESTA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46319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46319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27034-2023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45095</v>
      </c>
      <c r="E569" s="1" t="n">
        <v>46319</v>
      </c>
      <c r="F569" t="inlineStr">
        <is>
          <t>KRONOBERGS LÄN</t>
        </is>
      </c>
      <c r="G569" t="inlineStr">
        <is>
          <t>ALVESTA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15262-2024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45400</v>
      </c>
      <c r="E570" s="1" t="n">
        <v>46319</v>
      </c>
      <c r="F570" t="inlineStr">
        <is>
          <t>KRONOBERGS LÄN</t>
        </is>
      </c>
      <c r="G570" t="inlineStr">
        <is>
          <t>ALVESTA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61902-2024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45653</v>
      </c>
      <c r="E571" s="1" t="n">
        <v>46319</v>
      </c>
      <c r="F571" t="inlineStr">
        <is>
          <t>KRONOBERGS LÄN</t>
        </is>
      </c>
      <c r="G571" t="inlineStr">
        <is>
          <t>ALVESTA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40998-2023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46319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45155</v>
      </c>
      <c r="E573" s="1" t="n">
        <v>46319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14865-2024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45398</v>
      </c>
      <c r="E574" s="1" t="n">
        <v>46319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27710-2022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44743</v>
      </c>
      <c r="E575" s="1" t="n">
        <v>46319</v>
      </c>
      <c r="F575" t="inlineStr">
        <is>
          <t>KRONOBERGS LÄN</t>
        </is>
      </c>
      <c r="G575" t="inlineStr">
        <is>
          <t>ALVESTA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27731-2022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44743</v>
      </c>
      <c r="E576" s="1" t="n">
        <v>46319</v>
      </c>
      <c r="F576" t="inlineStr">
        <is>
          <t>KRONOBERGS LÄN</t>
        </is>
      </c>
      <c r="G576" t="inlineStr">
        <is>
          <t>ALVESTA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36625-2023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45153</v>
      </c>
      <c r="E577" s="1" t="n">
        <v>46319</v>
      </c>
      <c r="F577" t="inlineStr">
        <is>
          <t>KRONOBERGS LÄN</t>
        </is>
      </c>
      <c r="G577" t="inlineStr">
        <is>
          <t>ALVESTA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36627-2023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45153</v>
      </c>
      <c r="E578" s="1" t="n">
        <v>46319</v>
      </c>
      <c r="F578" t="inlineStr">
        <is>
          <t>KRONOBERGS LÄN</t>
        </is>
      </c>
      <c r="G578" t="inlineStr">
        <is>
          <t>ALVESTA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54015-2023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45231</v>
      </c>
      <c r="E579" s="1" t="n">
        <v>46319</v>
      </c>
      <c r="F579" t="inlineStr">
        <is>
          <t>KRONOBERGS LÄN</t>
        </is>
      </c>
      <c r="G579" t="inlineStr">
        <is>
          <t>ALVESTA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65094-2023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45288</v>
      </c>
      <c r="E580" s="1" t="n">
        <v>46319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46319</v>
      </c>
      <c r="F581" t="inlineStr">
        <is>
          <t>KRONOBERGS LÄN</t>
        </is>
      </c>
      <c r="G581" t="inlineStr">
        <is>
          <t>ALVESTA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36182-2023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46319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39258-2023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46319</v>
      </c>
      <c r="F583" t="inlineStr">
        <is>
          <t>KRONOBERGS LÄN</t>
        </is>
      </c>
      <c r="G583" t="inlineStr">
        <is>
          <t>ALVESTA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45135</v>
      </c>
      <c r="E584" s="1" t="n">
        <v>46319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45217</v>
      </c>
      <c r="E585" s="1" t="n">
        <v>46319</v>
      </c>
      <c r="F585" t="inlineStr">
        <is>
          <t>KRONOBERGS LÄN</t>
        </is>
      </c>
      <c r="G585" t="inlineStr">
        <is>
          <t>ALVESTA</t>
        </is>
      </c>
      <c r="I585" t="n">
        <v>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45336</v>
      </c>
      <c r="E586" s="1" t="n">
        <v>46319</v>
      </c>
      <c r="F586" t="inlineStr">
        <is>
          <t>KRONOBERGS LÄN</t>
        </is>
      </c>
      <c r="G586" t="inlineStr">
        <is>
          <t>ALVESTA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7703-2024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45349</v>
      </c>
      <c r="E587" s="1" t="n">
        <v>46319</v>
      </c>
      <c r="F587" t="inlineStr">
        <is>
          <t>KRONOBERGS LÄN</t>
        </is>
      </c>
      <c r="G587" t="inlineStr">
        <is>
          <t>ALVESTA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9673-2024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45362</v>
      </c>
      <c r="E588" s="1" t="n">
        <v>46319</v>
      </c>
      <c r="F588" t="inlineStr">
        <is>
          <t>KRONOBERGS LÄN</t>
        </is>
      </c>
      <c r="G588" t="inlineStr">
        <is>
          <t>ALVESTA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45330</v>
      </c>
      <c r="E589" s="1" t="n">
        <v>46319</v>
      </c>
      <c r="F589" t="inlineStr">
        <is>
          <t>KRONOBERGS LÄN</t>
        </is>
      </c>
      <c r="G589" t="inlineStr">
        <is>
          <t>ALVESTA</t>
        </is>
      </c>
      <c r="H589" t="inlineStr">
        <is>
          <t>Övriga Aktiebolag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16271-2022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44670</v>
      </c>
      <c r="E590" s="1" t="n">
        <v>46319</v>
      </c>
      <c r="F590" t="inlineStr">
        <is>
          <t>KRONOBERGS LÄN</t>
        </is>
      </c>
      <c r="G590" t="inlineStr">
        <is>
          <t>ALVESTA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50697-2023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46319</v>
      </c>
      <c r="F591" t="inlineStr">
        <is>
          <t>KRONOBERGS LÄN</t>
        </is>
      </c>
      <c r="G591" t="inlineStr">
        <is>
          <t>ALVESTA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25261-2024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45462</v>
      </c>
      <c r="E592" s="1" t="n">
        <v>46319</v>
      </c>
      <c r="F592" t="inlineStr">
        <is>
          <t>KRONOBERGS LÄN</t>
        </is>
      </c>
      <c r="G592" t="inlineStr">
        <is>
          <t>ALVESTA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61285-2023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45264</v>
      </c>
      <c r="E593" s="1" t="n">
        <v>46319</v>
      </c>
      <c r="F593" t="inlineStr">
        <is>
          <t>KRONOBERGS LÄN</t>
        </is>
      </c>
      <c r="G593" t="inlineStr">
        <is>
          <t>ALVESTA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46319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39307-2023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46319</v>
      </c>
      <c r="F595" t="inlineStr">
        <is>
          <t>KRONOBERGS LÄN</t>
        </is>
      </c>
      <c r="G595" t="inlineStr">
        <is>
          <t>ALVESTA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45740</v>
      </c>
      <c r="E596" s="1" t="n">
        <v>46319</v>
      </c>
      <c r="F596" t="inlineStr">
        <is>
          <t>KRONOBERGS LÄN</t>
        </is>
      </c>
      <c r="G596" t="inlineStr">
        <is>
          <t>ALVESTA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45136</v>
      </c>
      <c r="E597" s="1" t="n">
        <v>46319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52061-2023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45216</v>
      </c>
      <c r="E598" s="1" t="n">
        <v>46319</v>
      </c>
      <c r="F598" t="inlineStr">
        <is>
          <t>KRONOBERGS LÄN</t>
        </is>
      </c>
      <c r="G598" t="inlineStr">
        <is>
          <t>ALVESTA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57121-2022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44895</v>
      </c>
      <c r="E599" s="1" t="n">
        <v>46319</v>
      </c>
      <c r="F599" t="inlineStr">
        <is>
          <t>KRONOBERGS LÄN</t>
        </is>
      </c>
      <c r="G599" t="inlineStr">
        <is>
          <t>ALVESTA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49407-2024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45595</v>
      </c>
      <c r="E600" s="1" t="n">
        <v>46319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45338</v>
      </c>
      <c r="E601" s="1" t="n">
        <v>46319</v>
      </c>
      <c r="F601" t="inlineStr">
        <is>
          <t>KRONOBERGS LÄN</t>
        </is>
      </c>
      <c r="G601" t="inlineStr">
        <is>
          <t>ALVESTA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44970</v>
      </c>
      <c r="E602" s="1" t="n">
        <v>46319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42411-2023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46319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1093-2024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45302</v>
      </c>
      <c r="E604" s="1" t="n">
        <v>46319</v>
      </c>
      <c r="F604" t="inlineStr">
        <is>
          <t>KRONOBERGS LÄN</t>
        </is>
      </c>
      <c r="G604" t="inlineStr">
        <is>
          <t>ALVESTA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44985</v>
      </c>
      <c r="E605" s="1" t="n">
        <v>46319</v>
      </c>
      <c r="F605" t="inlineStr">
        <is>
          <t>KRONOBERGS LÄN</t>
        </is>
      </c>
      <c r="G605" t="inlineStr">
        <is>
          <t>ALVESTA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45532</v>
      </c>
      <c r="E606" s="1" t="n">
        <v>46319</v>
      </c>
      <c r="F606" t="inlineStr">
        <is>
          <t>KRONOBERGS LÄN</t>
        </is>
      </c>
      <c r="G606" t="inlineStr">
        <is>
          <t>ALVESTA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46319</v>
      </c>
      <c r="F607" t="inlineStr">
        <is>
          <t>KRONOBERGS LÄN</t>
        </is>
      </c>
      <c r="G607" t="inlineStr">
        <is>
          <t>ALVESTA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46319</v>
      </c>
      <c r="F608" t="inlineStr">
        <is>
          <t>KRONOBERGS LÄN</t>
        </is>
      </c>
      <c r="G608" t="inlineStr">
        <is>
          <t>ALVESTA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46319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44935</v>
      </c>
      <c r="E610" s="1" t="n">
        <v>46319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45336</v>
      </c>
      <c r="E611" s="1" t="n">
        <v>46319</v>
      </c>
      <c r="F611" t="inlineStr">
        <is>
          <t>KRONOBERGS LÄN</t>
        </is>
      </c>
      <c r="G611" t="inlineStr">
        <is>
          <t>ALVESTA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46319</v>
      </c>
      <c r="F612" t="inlineStr">
        <is>
          <t>KRONOBERGS LÄN</t>
        </is>
      </c>
      <c r="G612" t="inlineStr">
        <is>
          <t>ALVESTA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2119-2022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44675</v>
      </c>
      <c r="E613" s="1" t="n">
        <v>46319</v>
      </c>
      <c r="F613" t="inlineStr">
        <is>
          <t>KRONOBERGS LÄN</t>
        </is>
      </c>
      <c r="G613" t="inlineStr">
        <is>
          <t>ALVESTA</t>
        </is>
      </c>
      <c r="I613" t="n">
        <v>24.5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2120-2022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44675</v>
      </c>
      <c r="E614" s="1" t="n">
        <v>46319</v>
      </c>
      <c r="F614" t="inlineStr">
        <is>
          <t>KRONOBERGS LÄN</t>
        </is>
      </c>
      <c r="G614" t="inlineStr">
        <is>
          <t>ALVESTA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1569-2022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44643</v>
      </c>
      <c r="E615" s="1" t="n">
        <v>46319</v>
      </c>
      <c r="F615" t="inlineStr">
        <is>
          <t>KRONOBERGS LÄN</t>
        </is>
      </c>
      <c r="G615" t="inlineStr">
        <is>
          <t>ALVESTA</t>
        </is>
      </c>
      <c r="I615" t="n">
        <v>21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3838-2022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44743</v>
      </c>
      <c r="E616" s="1" t="n">
        <v>46319</v>
      </c>
      <c r="F616" t="inlineStr">
        <is>
          <t>KRONOBERGS LÄN</t>
        </is>
      </c>
      <c r="G616" t="inlineStr">
        <is>
          <t>ALVESTA</t>
        </is>
      </c>
      <c r="I616" t="n">
        <v>15.8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572-2024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45350</v>
      </c>
      <c r="E617" s="1" t="n">
        <v>46319</v>
      </c>
      <c r="F617" t="inlineStr">
        <is>
          <t>KRONOBERGS LÄN</t>
        </is>
      </c>
      <c r="G617" t="inlineStr">
        <is>
          <t>ALVESTA</t>
        </is>
      </c>
      <c r="I617" t="n">
        <v>32.7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6869-2022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44903</v>
      </c>
      <c r="E618" s="1" t="n">
        <v>46319</v>
      </c>
      <c r="F618" t="inlineStr">
        <is>
          <t>KRONOBERGS LÄN</t>
        </is>
      </c>
      <c r="G618" t="inlineStr">
        <is>
          <t>ALVESTA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2385-2023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45111</v>
      </c>
      <c r="E619" s="1" t="n">
        <v>46319</v>
      </c>
      <c r="F619" t="inlineStr">
        <is>
          <t>KRONOBERGS LÄN</t>
        </is>
      </c>
      <c r="G619" t="inlineStr">
        <is>
          <t>ALVESTA</t>
        </is>
      </c>
      <c r="I619" t="n">
        <v>4.9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3364-2024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46319</v>
      </c>
      <c r="F620" t="inlineStr">
        <is>
          <t>KRONOBERGS LÄN</t>
        </is>
      </c>
      <c r="G620" t="inlineStr">
        <is>
          <t>ALVESTA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2693-2024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45481</v>
      </c>
      <c r="E621" s="1" t="n">
        <v>46319</v>
      </c>
      <c r="F621" t="inlineStr">
        <is>
          <t>KRONOBERGS LÄN</t>
        </is>
      </c>
      <c r="G621" t="inlineStr">
        <is>
          <t>ALVESTA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8442-2021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44497</v>
      </c>
      <c r="E622" s="1" t="n">
        <v>46319</v>
      </c>
      <c r="F622" t="inlineStr">
        <is>
          <t>KRONOBERGS LÄN</t>
        </is>
      </c>
      <c r="G622" t="inlineStr">
        <is>
          <t>ALVESTA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3365-2024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45532</v>
      </c>
      <c r="E623" s="1" t="n">
        <v>46319</v>
      </c>
      <c r="F623" t="inlineStr">
        <is>
          <t>KRONOBERGS LÄN</t>
        </is>
      </c>
      <c r="G623" t="inlineStr">
        <is>
          <t>ALVESTA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4437-2023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45267</v>
      </c>
      <c r="E624" s="1" t="n">
        <v>46319</v>
      </c>
      <c r="F624" t="inlineStr">
        <is>
          <t>KRONOBERGS LÄN</t>
        </is>
      </c>
      <c r="G624" t="inlineStr">
        <is>
          <t>ALVESTA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1762-2024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45435</v>
      </c>
      <c r="E625" s="1" t="n">
        <v>46319</v>
      </c>
      <c r="F625" t="inlineStr">
        <is>
          <t>KRONOBERGS LÄN</t>
        </is>
      </c>
      <c r="G625" t="inlineStr">
        <is>
          <t>ALVESTA</t>
        </is>
      </c>
      <c r="I625" t="n">
        <v>17.4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562-2025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45709</v>
      </c>
      <c r="E626" s="1" t="n">
        <v>46319</v>
      </c>
      <c r="F626" t="inlineStr">
        <is>
          <t>KRONOBERGS LÄN</t>
        </is>
      </c>
      <c r="G626" t="inlineStr">
        <is>
          <t>ALVESTA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358-2025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45694</v>
      </c>
      <c r="E627" s="1" t="n">
        <v>46319</v>
      </c>
      <c r="F627" t="inlineStr">
        <is>
          <t>KRONOBERGS LÄN</t>
        </is>
      </c>
      <c r="G627" t="inlineStr">
        <is>
          <t>ALVESTA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711-2025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45720</v>
      </c>
      <c r="E628" s="1" t="n">
        <v>46319</v>
      </c>
      <c r="F628" t="inlineStr">
        <is>
          <t>KRONOBERGS LÄN</t>
        </is>
      </c>
      <c r="G628" t="inlineStr">
        <is>
          <t>ALVESTA</t>
        </is>
      </c>
      <c r="I628" t="n">
        <v>22.2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359-2025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45694</v>
      </c>
      <c r="E629" s="1" t="n">
        <v>46319</v>
      </c>
      <c r="F629" t="inlineStr">
        <is>
          <t>KRONOBERGS LÄN</t>
        </is>
      </c>
      <c r="G629" t="inlineStr">
        <is>
          <t>ALVESTA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450-2025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45701</v>
      </c>
      <c r="E630" s="1" t="n">
        <v>46319</v>
      </c>
      <c r="F630" t="inlineStr">
        <is>
          <t>KRONOBERGS LÄN</t>
        </is>
      </c>
      <c r="G630" t="inlineStr">
        <is>
          <t>ALVESTA</t>
        </is>
      </c>
      <c r="I630" t="n">
        <v>42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608-2025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45714</v>
      </c>
      <c r="E631" s="1" t="n">
        <v>46319</v>
      </c>
      <c r="F631" t="inlineStr">
        <is>
          <t>KRONOBERGS LÄN</t>
        </is>
      </c>
      <c r="G631" t="inlineStr">
        <is>
          <t>ALVESTA</t>
        </is>
      </c>
      <c r="I631" t="n">
        <v>40.3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362-2025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45694</v>
      </c>
      <c r="E632" s="1" t="n">
        <v>46319</v>
      </c>
      <c r="F632" t="inlineStr">
        <is>
          <t>KRONOBERGS LÄN</t>
        </is>
      </c>
      <c r="G632" t="inlineStr">
        <is>
          <t>ALVESTA</t>
        </is>
      </c>
      <c r="I632" t="n">
        <v>21.9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45814</v>
      </c>
      <c r="E633" s="1" t="n">
        <v>46319</v>
      </c>
      <c r="F633" t="inlineStr">
        <is>
          <t>KRONOBERGS LÄN</t>
        </is>
      </c>
      <c r="G633" t="inlineStr">
        <is>
          <t>ALVESTA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3139-2025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45972</v>
      </c>
      <c r="E634" s="1" t="n">
        <v>46319</v>
      </c>
      <c r="F634" t="inlineStr">
        <is>
          <t>KRONOBERGS LÄN</t>
        </is>
      </c>
      <c r="G634" t="inlineStr">
        <is>
          <t>ALVESTA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3128-2025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45971</v>
      </c>
      <c r="E635" s="1" t="n">
        <v>46319</v>
      </c>
      <c r="F635" t="inlineStr">
        <is>
          <t>KRONOBERGS LÄN</t>
        </is>
      </c>
      <c r="G635" t="inlineStr">
        <is>
          <t>ALVESTA</t>
        </is>
      </c>
      <c r="I635" t="n">
        <v>11.6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119-2026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46040</v>
      </c>
      <c r="E636" s="1" t="n">
        <v>46319</v>
      </c>
      <c r="F636" t="inlineStr">
        <is>
          <t>KRONOBERGS LÄN</t>
        </is>
      </c>
      <c r="G636" t="inlineStr">
        <is>
          <t>ALVESTA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276-2026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46056</v>
      </c>
      <c r="E637" s="1" t="n">
        <v>46319</v>
      </c>
      <c r="F637" t="inlineStr">
        <is>
          <t>KRONOBERGS LÄN</t>
        </is>
      </c>
      <c r="G637" t="inlineStr">
        <is>
          <t>ALVESTA</t>
        </is>
      </c>
      <c r="I637" t="n">
        <v>16.2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416-2026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46071</v>
      </c>
      <c r="E638" s="1" t="n">
        <v>46319</v>
      </c>
      <c r="F638" t="inlineStr">
        <is>
          <t>KRONOBERGS LÄN</t>
        </is>
      </c>
      <c r="G638" t="inlineStr">
        <is>
          <t>ALVESTA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784-2026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46099</v>
      </c>
      <c r="E639" s="1" t="n">
        <v>46319</v>
      </c>
      <c r="F639" t="inlineStr">
        <is>
          <t>KRONOBERGS LÄN</t>
        </is>
      </c>
      <c r="G639" t="inlineStr">
        <is>
          <t>ALVESTA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1769-2026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46191</v>
      </c>
      <c r="E640" s="1" t="n">
        <v>46319</v>
      </c>
      <c r="F640" t="inlineStr">
        <is>
          <t>KRONOBERGS LÄN</t>
        </is>
      </c>
      <c r="G640" t="inlineStr">
        <is>
          <t>ALVESTA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2170-2026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46251</v>
      </c>
      <c r="E641" s="1" t="n">
        <v>46319</v>
      </c>
      <c r="F641" t="inlineStr">
        <is>
          <t>KRONOBERGS LÄN</t>
        </is>
      </c>
      <c r="G641" t="inlineStr">
        <is>
          <t>ALVESTA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2591-2026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46296</v>
      </c>
      <c r="E642" s="1" t="n">
        <v>46319</v>
      </c>
      <c r="F642" t="inlineStr">
        <is>
          <t>KRONOBERGS LÄN</t>
        </is>
      </c>
      <c r="G642" t="inlineStr">
        <is>
          <t>ALVESTA</t>
        </is>
      </c>
      <c r="I642" t="n">
        <v>22.4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2592-2026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46296</v>
      </c>
      <c r="E643" s="1" t="n">
        <v>46319</v>
      </c>
      <c r="F643" t="inlineStr">
        <is>
          <t>KRONOBERGS LÄN</t>
        </is>
      </c>
      <c r="G643" t="inlineStr">
        <is>
          <t>ALVESTA</t>
        </is>
      </c>
      <c r="I643" t="n">
        <v>22.6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2171-2026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46251</v>
      </c>
      <c r="E644" s="1" t="n">
        <v>46319</v>
      </c>
      <c r="F644" t="inlineStr">
        <is>
          <t>KRONOBERGS LÄN</t>
        </is>
      </c>
      <c r="G644" t="inlineStr">
        <is>
          <t>ALVESTA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2644-2026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46304</v>
      </c>
      <c r="E645" s="1" t="n">
        <v>46319</v>
      </c>
      <c r="F645" t="inlineStr">
        <is>
          <t>KRONOBERGS LÄN</t>
        </is>
      </c>
      <c r="G645" t="inlineStr">
        <is>
          <t>ALVESTA</t>
        </is>
      </c>
      <c r="I645" t="n">
        <v>19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>
      <c r="A646" t="inlineStr">
        <is>
          <t>S 2643-2026</t>
        </is>
      </c>
      <c r="B646" t="inlineStr">
        <is>
          <t>samrådsanmälan</t>
        </is>
      </c>
      <c r="C646" t="inlineStr">
        <is>
          <t>Stubbskörd</t>
        </is>
      </c>
      <c r="D646" s="1" t="n">
        <v>46304</v>
      </c>
      <c r="E646" s="1" t="n">
        <v>46319</v>
      </c>
      <c r="F646" t="inlineStr">
        <is>
          <t>KRONOBERGS LÄN</t>
        </is>
      </c>
      <c r="G646" t="inlineStr">
        <is>
          <t>ALVESTA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2026-10-24T02:04:02Z</dcterms:created>
  <dcterms:modified xmlns:dcterms="http://purl.org/dc/terms/" xmlns:xsi="http://www.w3.org/2001/XMLSchema-instance" xsi:type="dcterms:W3CDTF">2026-10-24T02:04:03Z</dcterms:modified>
</cp:coreProperties>
</file>