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46255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46255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46255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46255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46255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46255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46255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46255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46255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46255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46255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46255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46255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46255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46255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46255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46255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46255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46255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Småvaxing
Toppvaxing</t>
        </is>
      </c>
      <c r="W20">
        <f>HYPERLINK("https://klasma.github.io/Logging_0764/artfynd/A 9407-2024 artfynd.xlsx", "A 9407-2024")</f>
        <v/>
      </c>
      <c r="X20">
        <f>HYPERLINK("https://klasma.github.io/Logging_0764/kartor/A 9407-2024 karta.png", "A 9407-2024")</f>
        <v/>
      </c>
      <c r="Y20">
        <f>HYPERLINK("https://klasma.github.io/Logging_0764/kartor_geotiff/A 9407-2024 georefererad karta.tif", "A 9407-2024")</f>
        <v/>
      </c>
      <c r="AA20">
        <f>HYPERLINK("https://klasma.github.io/Logging_0764/klagomål/A 9407-2024 FSC-klagomål.docx", "A 9407-2024")</f>
        <v/>
      </c>
      <c r="AB20">
        <f>HYPERLINK("https://klasma.github.io/Logging_0764/klagomålsmail/A 9407-2024 FSC-klagomål mail.docx", "A 9407-2024")</f>
        <v/>
      </c>
      <c r="AC20">
        <f>HYPERLINK("https://klasma.github.io/Logging_0764/tillsyn/A 9407-2024 tillsynsbegäran.docx", "A 9407-2024")</f>
        <v/>
      </c>
      <c r="AD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46255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46255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46255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46255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46255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46255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46255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46255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46255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46255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46255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12221-2024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46255</v>
      </c>
      <c r="F32" t="inlineStr">
        <is>
          <t>KRONOBERGS LÄN</t>
        </is>
      </c>
      <c r="G32" t="inlineStr">
        <is>
          <t>ALVESTA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Brandticka</t>
        </is>
      </c>
      <c r="W32">
        <f>HYPERLINK("https://klasma.github.io/Logging_0764/artfynd/A 12221-2024 artfynd.xlsx", "A 12221-2024")</f>
        <v/>
      </c>
      <c r="X32">
        <f>HYPERLINK("https://klasma.github.io/Logging_0764/kartor/A 12221-2024 karta.png", "A 12221-2024")</f>
        <v/>
      </c>
      <c r="Y32">
        <f>HYPERLINK("https://klasma.github.io/Logging_0764/kartor_geotiff/A 12221-2024 georefererad karta.tif", "A 12221-2024")</f>
        <v/>
      </c>
      <c r="AA32">
        <f>HYPERLINK("https://klasma.github.io/Logging_0764/klagomål/A 12221-2024 FSC-klagomål.docx", "A 12221-2024")</f>
        <v/>
      </c>
      <c r="AB32">
        <f>HYPERLINK("https://klasma.github.io/Logging_0764/klagomålsmail/A 12221-2024 FSC-klagomål mail.docx", "A 12221-2024")</f>
        <v/>
      </c>
      <c r="AC32">
        <f>HYPERLINK("https://klasma.github.io/Logging_0764/tillsyn/A 12221-2024 tillsynsbegäran.docx", "A 12221-2024")</f>
        <v/>
      </c>
      <c r="AD32">
        <f>HYPERLINK("https://klasma.github.io/Logging_0764/tillsynsmail/A 12221-2024 tillsynsbegäran mail.docx", "A 12221-2024")</f>
        <v/>
      </c>
    </row>
    <row r="33" ht="15" customHeight="1">
      <c r="A33" t="inlineStr">
        <is>
          <t>A 47338-2022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46255</v>
      </c>
      <c r="F33" t="inlineStr">
        <is>
          <t>KRONOBERGS LÄN</t>
        </is>
      </c>
      <c r="G33" t="inlineStr">
        <is>
          <t>ALVESTA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HYPERLINK("https://klasma.github.io/Logging_0764/artfynd/A 47338-2022 artfynd.xlsx", "A 47338-2022")</f>
        <v/>
      </c>
      <c r="X33">
        <f>HYPERLINK("https://klasma.github.io/Logging_0764/kartor/A 47338-2022 karta.png", "A 47338-2022")</f>
        <v/>
      </c>
      <c r="Y33">
        <f>HYPERLINK("https://klasma.github.io/Logging_0764/kartor_geotiff/A 47338-2022 georefererad karta.tif", "A 47338-2022")</f>
        <v/>
      </c>
      <c r="AA33">
        <f>HYPERLINK("https://klasma.github.io/Logging_0764/klagomål/A 47338-2022 FSC-klagomål.docx", "A 47338-2022")</f>
        <v/>
      </c>
      <c r="AB33">
        <f>HYPERLINK("https://klasma.github.io/Logging_0764/klagomålsmail/A 47338-2022 FSC-klagomål mail.docx", "A 47338-2022")</f>
        <v/>
      </c>
      <c r="AC33">
        <f>HYPERLINK("https://klasma.github.io/Logging_0764/tillsyn/A 47338-2022 tillsynsbegäran.docx", "A 47338-2022")</f>
        <v/>
      </c>
      <c r="AD33">
        <f>HYPERLINK("https://klasma.github.io/Logging_0764/tillsynsmail/A 47338-2022 tillsynsbegäran mail.docx", "A 47338-2022")</f>
        <v/>
      </c>
      <c r="AE33">
        <f>HYPERLINK("https://klasma.github.io/Logging_0764/fåglar/A 47338-2022 prioriterade fågelarter.docx", "A 47338-2022")</f>
        <v/>
      </c>
    </row>
    <row r="34" ht="15" customHeight="1">
      <c r="A34" t="inlineStr">
        <is>
          <t>A 35279-2022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44798</v>
      </c>
      <c r="E34" s="1" t="n">
        <v>46255</v>
      </c>
      <c r="F34" t="inlineStr">
        <is>
          <t>KRONOBERGS LÄN</t>
        </is>
      </c>
      <c r="G34" t="inlineStr">
        <is>
          <t>ALVESTA</t>
        </is>
      </c>
      <c r="H34" t="inlineStr">
        <is>
          <t>Kyrkan</t>
        </is>
      </c>
      <c r="I34" t="n">
        <v>3.8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2</v>
      </c>
      <c r="V34" s="2" t="inlineStr">
        <is>
          <t>Knärot</t>
        </is>
      </c>
      <c r="W34">
        <f>HYPERLINK("https://klasma.github.io/Logging_0764/artfynd/A 35279-2022 artfynd.xlsx", "A 35279-2022")</f>
        <v/>
      </c>
      <c r="X34">
        <f>HYPERLINK("https://klasma.github.io/Logging_0764/kartor/A 35279-2022 karta.png", "A 35279-2022")</f>
        <v/>
      </c>
      <c r="Y34">
        <f>HYPERLINK("https://klasma.github.io/Logging_0764/kartor_geotiff/A 35279-2022 georefererad karta.tif", "A 35279-2022")</f>
        <v/>
      </c>
      <c r="Z34">
        <f>HYPERLINK("https://klasma.github.io/Logging_0764/knärot/A 35279-2022 karta knärot.png", "A 35279-2022")</f>
        <v/>
      </c>
      <c r="AA34">
        <f>HYPERLINK("https://klasma.github.io/Logging_0764/klagomål/A 35279-2022 FSC-klagomål.docx", "A 35279-2022")</f>
        <v/>
      </c>
      <c r="AB34">
        <f>HYPERLINK("https://klasma.github.io/Logging_0764/klagomålsmail/A 35279-2022 FSC-klagomål mail.docx", "A 35279-2022")</f>
        <v/>
      </c>
      <c r="AC34">
        <f>HYPERLINK("https://klasma.github.io/Logging_0764/tillsyn/A 35279-2022 tillsynsbegäran.docx", "A 35279-2022")</f>
        <v/>
      </c>
      <c r="AD34">
        <f>HYPERLINK("https://klasma.github.io/Logging_0764/tillsynsmail/A 35279-2022 tillsynsbegäran mail.docx", "A 35279-2022")</f>
        <v/>
      </c>
    </row>
    <row r="35" ht="15" customHeight="1">
      <c r="A35" t="inlineStr">
        <is>
          <t>A 46348-2021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46255</v>
      </c>
      <c r="F35" t="inlineStr">
        <is>
          <t>KRONOBERGS LÄN</t>
        </is>
      </c>
      <c r="G35" t="inlineStr">
        <is>
          <t>ALVESTA</t>
        </is>
      </c>
      <c r="I35" t="n">
        <v>3.9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Gulsparv</t>
        </is>
      </c>
      <c r="W35">
        <f>HYPERLINK("https://klasma.github.io/Logging_0764/artfynd/A 46348-2021 artfynd.xlsx", "A 46348-2021")</f>
        <v/>
      </c>
      <c r="X35">
        <f>HYPERLINK("https://klasma.github.io/Logging_0764/kartor/A 46348-2021 karta.png", "A 46348-2021")</f>
        <v/>
      </c>
      <c r="Y35">
        <f>HYPERLINK("https://klasma.github.io/Logging_0764/kartor_geotiff/A 46348-2021 georefererad karta.tif", "A 46348-2021")</f>
        <v/>
      </c>
      <c r="AA35">
        <f>HYPERLINK("https://klasma.github.io/Logging_0764/klagomål/A 46348-2021 FSC-klagomål.docx", "A 46348-2021")</f>
        <v/>
      </c>
      <c r="AB35">
        <f>HYPERLINK("https://klasma.github.io/Logging_0764/klagomålsmail/A 46348-2021 FSC-klagomål mail.docx", "A 46348-2021")</f>
        <v/>
      </c>
      <c r="AC35">
        <f>HYPERLINK("https://klasma.github.io/Logging_0764/tillsyn/A 46348-2021 tillsynsbegäran.docx", "A 46348-2021")</f>
        <v/>
      </c>
      <c r="AD35">
        <f>HYPERLINK("https://klasma.github.io/Logging_0764/tillsynsmail/A 46348-2021 tillsynsbegäran mail.docx", "A 46348-2021")</f>
        <v/>
      </c>
      <c r="AE35">
        <f>HYPERLINK("https://klasma.github.io/Logging_0764/fåglar/A 46348-2021 prioriterade fågelarter.docx", "A 46348-2021")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46255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HYPERLINK("https://klasma.github.io/Logging_0764/artfynd/A 60729-2025 artfynd.xlsx", "A 60729-2025")</f>
        <v/>
      </c>
      <c r="X36">
        <f>HYPERLINK("https://klasma.github.io/Logging_0764/kartor/A 60729-2025 karta.png", "A 60729-2025")</f>
        <v/>
      </c>
      <c r="Y36">
        <f>HYPERLINK("https://klasma.github.io/Logging_0764/kartor_geotiff/A 60729-2025 georefererad karta.tif", "A 60729-2025")</f>
        <v/>
      </c>
      <c r="AA36">
        <f>HYPERLINK("https://klasma.github.io/Logging_0764/klagomål/A 60729-2025 FSC-klagomål.docx", "A 60729-2025")</f>
        <v/>
      </c>
      <c r="AB36">
        <f>HYPERLINK("https://klasma.github.io/Logging_0764/klagomålsmail/A 60729-2025 FSC-klagomål mail.docx", "A 60729-2025")</f>
        <v/>
      </c>
      <c r="AC36">
        <f>HYPERLINK("https://klasma.github.io/Logging_0764/tillsyn/A 60729-2025 tillsynsbegäran.docx", "A 60729-2025")</f>
        <v/>
      </c>
      <c r="AD36">
        <f>HYPERLINK("https://klasma.github.io/Logging_0764/tillsynsmail/A 60729-2025 tillsynsbegäran mail.docx", "A 60729-2025")</f>
        <v/>
      </c>
    </row>
    <row r="37" ht="15" customHeight="1">
      <c r="A37" t="inlineStr">
        <is>
          <t>A 55368-2025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46255</v>
      </c>
      <c r="F37" t="inlineStr">
        <is>
          <t>KRONOBERGS LÄN</t>
        </is>
      </c>
      <c r="G37" t="inlineStr">
        <is>
          <t>ALVESTA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Kortskaftad ärgspik</t>
        </is>
      </c>
      <c r="W37">
        <f>HYPERLINK("https://klasma.github.io/Logging_0764/artfynd/A 55368-2025 artfynd.xlsx", "A 55368-2025")</f>
        <v/>
      </c>
      <c r="X37">
        <f>HYPERLINK("https://klasma.github.io/Logging_0764/kartor/A 55368-2025 karta.png", "A 55368-2025")</f>
        <v/>
      </c>
      <c r="Y37">
        <f>HYPERLINK("https://klasma.github.io/Logging_0764/kartor_geotiff/A 55368-2025 georefererad karta.tif", "A 55368-2025")</f>
        <v/>
      </c>
      <c r="AA37">
        <f>HYPERLINK("https://klasma.github.io/Logging_0764/klagomål/A 55368-2025 FSC-klagomål.docx", "A 55368-2025")</f>
        <v/>
      </c>
      <c r="AB37">
        <f>HYPERLINK("https://klasma.github.io/Logging_0764/klagomålsmail/A 55368-2025 FSC-klagomål mail.docx", "A 55368-2025")</f>
        <v/>
      </c>
      <c r="AC37">
        <f>HYPERLINK("https://klasma.github.io/Logging_0764/tillsyn/A 55368-2025 tillsynsbegäran.docx", "A 55368-2025")</f>
        <v/>
      </c>
      <c r="AD37">
        <f>HYPERLINK("https://klasma.github.io/Logging_0764/tillsynsmail/A 55368-2025 tillsynsbegäran mail.docx", "A 55368-2025")</f>
        <v/>
      </c>
    </row>
    <row r="38" ht="15" customHeight="1">
      <c r="A38" t="inlineStr">
        <is>
          <t>A 43766-2023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46255</v>
      </c>
      <c r="F38" t="inlineStr">
        <is>
          <t>KRONOBERGS LÄN</t>
        </is>
      </c>
      <c r="G38" t="inlineStr">
        <is>
          <t>ALVESTA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HYPERLINK("https://klasma.github.io/Logging_0764/artfynd/A 43766-2023 artfynd.xlsx", "A 43766-2023")</f>
        <v/>
      </c>
      <c r="X38">
        <f>HYPERLINK("https://klasma.github.io/Logging_0764/kartor/A 43766-2023 karta.png", "A 43766-2023")</f>
        <v/>
      </c>
      <c r="Y38">
        <f>HYPERLINK("https://klasma.github.io/Logging_0764/kartor_geotiff/A 43766-2023 georefererad karta.tif", "A 43766-2023")</f>
        <v/>
      </c>
      <c r="AA38">
        <f>HYPERLINK("https://klasma.github.io/Logging_0764/klagomål/A 43766-2023 FSC-klagomål.docx", "A 43766-2023")</f>
        <v/>
      </c>
      <c r="AB38">
        <f>HYPERLINK("https://klasma.github.io/Logging_0764/klagomålsmail/A 43766-2023 FSC-klagomål mail.docx", "A 43766-2023")</f>
        <v/>
      </c>
      <c r="AC38">
        <f>HYPERLINK("https://klasma.github.io/Logging_0764/tillsyn/A 43766-2023 tillsynsbegäran.docx", "A 43766-2023")</f>
        <v/>
      </c>
      <c r="AD38">
        <f>HYPERLINK("https://klasma.github.io/Logging_0764/tillsynsmail/A 43766-2023 tillsynsbegäran mail.docx", "A 43766-2023")</f>
        <v/>
      </c>
    </row>
    <row r="39" ht="15" customHeight="1">
      <c r="A39" t="inlineStr">
        <is>
          <t>A 38890-2024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46255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0</v>
      </c>
      <c r="V39" s="2" t="inlineStr">
        <is>
          <t>Hårklomossa</t>
        </is>
      </c>
      <c r="W39">
        <f>HYPERLINK("https://klasma.github.io/Logging_0764/artfynd/A 38890-2024 artfynd.xlsx", "A 38890-2024")</f>
        <v/>
      </c>
      <c r="X39">
        <f>HYPERLINK("https://klasma.github.io/Logging_0764/kartor/A 38890-2024 karta.png", "A 38890-2024")</f>
        <v/>
      </c>
      <c r="Y39">
        <f>HYPERLINK("https://klasma.github.io/Logging_0764/kartor_geotiff/A 38890-2024 georefererad karta.tif", "A 38890-2024")</f>
        <v/>
      </c>
      <c r="AA39">
        <f>HYPERLINK("https://klasma.github.io/Logging_0764/klagomål/A 38890-2024 FSC-klagomål.docx", "A 38890-2024")</f>
        <v/>
      </c>
      <c r="AB39">
        <f>HYPERLINK("https://klasma.github.io/Logging_0764/klagomålsmail/A 38890-2024 FSC-klagomål mail.docx", "A 38890-2024")</f>
        <v/>
      </c>
      <c r="AC39">
        <f>HYPERLINK("https://klasma.github.io/Logging_0764/tillsyn/A 38890-2024 tillsynsbegäran.docx", "A 38890-2024")</f>
        <v/>
      </c>
      <c r="AD39">
        <f>HYPERLINK("https://klasma.github.io/Logging_0764/tillsynsmail/A 38890-2024 tillsynsbegäran mail.docx", "A 38890-2024")</f>
        <v/>
      </c>
    </row>
    <row r="40" ht="15" customHeight="1">
      <c r="A40" t="inlineStr">
        <is>
          <t>A 50486-2021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44459</v>
      </c>
      <c r="E40" s="1" t="n">
        <v>46255</v>
      </c>
      <c r="F40" t="inlineStr">
        <is>
          <t>KRONOBERGS LÄN</t>
        </is>
      </c>
      <c r="G40" t="inlineStr">
        <is>
          <t>ALVESTA</t>
        </is>
      </c>
      <c r="I40" t="n">
        <v>9.1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Västlig hakmossa</t>
        </is>
      </c>
      <c r="W40">
        <f>HYPERLINK("https://klasma.github.io/Logging_0764/artfynd/A 50486-2021 artfynd.xlsx", "A 50486-2021")</f>
        <v/>
      </c>
      <c r="X40">
        <f>HYPERLINK("https://klasma.github.io/Logging_0764/kartor/A 50486-2021 karta.png", "A 50486-2021")</f>
        <v/>
      </c>
      <c r="Y40">
        <f>HYPERLINK("https://klasma.github.io/Logging_0764/kartor_geotiff/A 50486-2021 georefererad karta.tif", "A 50486-2021")</f>
        <v/>
      </c>
      <c r="AA40">
        <f>HYPERLINK("https://klasma.github.io/Logging_0764/klagomål/A 50486-2021 FSC-klagomål.docx", "A 50486-2021")</f>
        <v/>
      </c>
      <c r="AB40">
        <f>HYPERLINK("https://klasma.github.io/Logging_0764/klagomålsmail/A 50486-2021 FSC-klagomål mail.docx", "A 50486-2021")</f>
        <v/>
      </c>
      <c r="AC40">
        <f>HYPERLINK("https://klasma.github.io/Logging_0764/tillsyn/A 50486-2021 tillsynsbegäran.docx", "A 50486-2021")</f>
        <v/>
      </c>
      <c r="AD40">
        <f>HYPERLINK("https://klasma.github.io/Logging_0764/tillsynsmail/A 50486-2021 tillsynsbegäran mail.docx", "A 50486-2021")</f>
        <v/>
      </c>
    </row>
    <row r="41" ht="15" customHeight="1">
      <c r="A41" t="inlineStr">
        <is>
          <t>A 37608-2022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46255</v>
      </c>
      <c r="F41" t="inlineStr">
        <is>
          <t>KRONOBERGS LÄN</t>
        </is>
      </c>
      <c r="G41" t="inlineStr">
        <is>
          <t>ALVESTA</t>
        </is>
      </c>
      <c r="I41" t="n">
        <v>5.3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Gropticka</t>
        </is>
      </c>
      <c r="W41">
        <f>HYPERLINK("https://klasma.github.io/Logging_0764/artfynd/A 37608-2022 artfynd.xlsx", "A 37608-2022")</f>
        <v/>
      </c>
      <c r="X41">
        <f>HYPERLINK("https://klasma.github.io/Logging_0764/kartor/A 37608-2022 karta.png", "A 37608-2022")</f>
        <v/>
      </c>
      <c r="Y41">
        <f>HYPERLINK("https://klasma.github.io/Logging_0764/kartor_geotiff/A 37608-2022 georefererad karta.tif", "A 37608-2022")</f>
        <v/>
      </c>
      <c r="AA41">
        <f>HYPERLINK("https://klasma.github.io/Logging_0764/klagomål/A 37608-2022 FSC-klagomål.docx", "A 37608-2022")</f>
        <v/>
      </c>
      <c r="AB41">
        <f>HYPERLINK("https://klasma.github.io/Logging_0764/klagomålsmail/A 37608-2022 FSC-klagomål mail.docx", "A 37608-2022")</f>
        <v/>
      </c>
      <c r="AC41">
        <f>HYPERLINK("https://klasma.github.io/Logging_0764/tillsyn/A 37608-2022 tillsynsbegäran.docx", "A 37608-2022")</f>
        <v/>
      </c>
      <c r="AD41">
        <f>HYPERLINK("https://klasma.github.io/Logging_0764/tillsynsmail/A 37608-2022 tillsynsbegäran mail.docx", "A 37608-2022")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46255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18676-2023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45043</v>
      </c>
      <c r="E43" s="1" t="n">
        <v>46255</v>
      </c>
      <c r="F43" t="inlineStr">
        <is>
          <t>KRONOBERGS LÄN</t>
        </is>
      </c>
      <c r="G43" t="inlineStr">
        <is>
          <t>ALVESTA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Blomkålssvamp</t>
        </is>
      </c>
      <c r="W43">
        <f>HYPERLINK("https://klasma.github.io/Logging_0764/artfynd/A 18676-2023 artfynd.xlsx", "A 18676-2023")</f>
        <v/>
      </c>
      <c r="X43">
        <f>HYPERLINK("https://klasma.github.io/Logging_0764/kartor/A 18676-2023 karta.png", "A 18676-2023")</f>
        <v/>
      </c>
      <c r="Y43">
        <f>HYPERLINK("https://klasma.github.io/Logging_0764/kartor_geotiff/A 18676-2023 georefererad karta.tif", "A 18676-2023")</f>
        <v/>
      </c>
      <c r="AA43">
        <f>HYPERLINK("https://klasma.github.io/Logging_0764/klagomål/A 18676-2023 FSC-klagomål.docx", "A 18676-2023")</f>
        <v/>
      </c>
      <c r="AB43">
        <f>HYPERLINK("https://klasma.github.io/Logging_0764/klagomålsmail/A 18676-2023 FSC-klagomål mail.docx", "A 18676-2023")</f>
        <v/>
      </c>
      <c r="AC43">
        <f>HYPERLINK("https://klasma.github.io/Logging_0764/tillsyn/A 18676-2023 tillsynsbegäran.docx", "A 18676-2023")</f>
        <v/>
      </c>
      <c r="AD43">
        <f>HYPERLINK("https://klasma.github.io/Logging_0764/tillsynsmail/A 18676-2023 tillsynsbegäran mail.docx", "A 18676-2023")</f>
        <v/>
      </c>
    </row>
    <row r="44" ht="15" customHeight="1">
      <c r="A44" t="inlineStr">
        <is>
          <t>A 29382-2023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46255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HYPERLINK("https://klasma.github.io/Logging_0764/artfynd/A 29382-2023 artfynd.xlsx", "A 29382-2023")</f>
        <v/>
      </c>
      <c r="X44">
        <f>HYPERLINK("https://klasma.github.io/Logging_0764/kartor/A 29382-2023 karta.png", "A 29382-2023")</f>
        <v/>
      </c>
      <c r="Y44">
        <f>HYPERLINK("https://klasma.github.io/Logging_0764/kartor_geotiff/A 29382-2023 georefererad karta.tif", "A 29382-2023")</f>
        <v/>
      </c>
      <c r="AA44">
        <f>HYPERLINK("https://klasma.github.io/Logging_0764/klagomål/A 29382-2023 FSC-klagomål.docx", "A 29382-2023")</f>
        <v/>
      </c>
      <c r="AB44">
        <f>HYPERLINK("https://klasma.github.io/Logging_0764/klagomålsmail/A 29382-2023 FSC-klagomål mail.docx", "A 29382-2023")</f>
        <v/>
      </c>
      <c r="AC44">
        <f>HYPERLINK("https://klasma.github.io/Logging_0764/tillsyn/A 29382-2023 tillsynsbegäran.docx", "A 29382-2023")</f>
        <v/>
      </c>
      <c r="AD44">
        <f>HYPERLINK("https://klasma.github.io/Logging_0764/tillsynsmail/A 29382-2023 tillsynsbegäran mail.docx", "A 29382-2023")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46255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11669-2024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46255</v>
      </c>
      <c r="F46" t="inlineStr">
        <is>
          <t>KRONOBERGS LÄN</t>
        </is>
      </c>
      <c r="G46" t="inlineStr">
        <is>
          <t>ALVESTA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Skuggmossa</t>
        </is>
      </c>
      <c r="W46">
        <f>HYPERLINK("https://klasma.github.io/Logging_0764/artfynd/A 11669-2024 artfynd.xlsx", "A 11669-2024")</f>
        <v/>
      </c>
      <c r="X46">
        <f>HYPERLINK("https://klasma.github.io/Logging_0764/kartor/A 11669-2024 karta.png", "A 11669-2024")</f>
        <v/>
      </c>
      <c r="Y46">
        <f>HYPERLINK("https://klasma.github.io/Logging_0764/kartor_geotiff/A 11669-2024 georefererad karta.tif", "A 11669-2024")</f>
        <v/>
      </c>
      <c r="AA46">
        <f>HYPERLINK("https://klasma.github.io/Logging_0764/klagomål/A 11669-2024 FSC-klagomål.docx", "A 11669-2024")</f>
        <v/>
      </c>
      <c r="AB46">
        <f>HYPERLINK("https://klasma.github.io/Logging_0764/klagomålsmail/A 11669-2024 FSC-klagomål mail.docx", "A 11669-2024")</f>
        <v/>
      </c>
      <c r="AC46">
        <f>HYPERLINK("https://klasma.github.io/Logging_0764/tillsyn/A 11669-2024 tillsynsbegäran.docx", "A 11669-2024")</f>
        <v/>
      </c>
      <c r="AD46">
        <f>HYPERLINK("https://klasma.github.io/Logging_0764/tillsynsmail/A 11669-2024 tillsynsbegäran mail.docx", "A 11669-2024")</f>
        <v/>
      </c>
    </row>
    <row r="47" ht="15" customHeight="1">
      <c r="A47" t="inlineStr">
        <is>
          <t>A 32786-2026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46241</v>
      </c>
      <c r="E47" s="1" t="n">
        <v>46255</v>
      </c>
      <c r="F47" t="inlineStr">
        <is>
          <t>KRONOBERGS LÄN</t>
        </is>
      </c>
      <c r="G47" t="inlineStr">
        <is>
          <t>ALVESTA</t>
        </is>
      </c>
      <c r="I47" t="n">
        <v>13.9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Bohuslind</t>
        </is>
      </c>
      <c r="W47">
        <f>HYPERLINK("https://klasma.github.io/Logging_0764/artfynd/A 32786-2026 artfynd.xlsx", "A 32786-2026")</f>
        <v/>
      </c>
      <c r="X47">
        <f>HYPERLINK("https://klasma.github.io/Logging_0764/kartor/A 32786-2026 karta.png", "A 32786-2026")</f>
        <v/>
      </c>
      <c r="Y47">
        <f>HYPERLINK("https://klasma.github.io/Logging_0764/kartor_geotiff/A 32786-2026 georefererad karta.tif", "A 32786-2026")</f>
        <v/>
      </c>
      <c r="AA47">
        <f>HYPERLINK("https://klasma.github.io/Logging_0764/klagomål/A 32786-2026 FSC-klagomål.docx", "A 32786-2026")</f>
        <v/>
      </c>
      <c r="AB47">
        <f>HYPERLINK("https://klasma.github.io/Logging_0764/klagomålsmail/A 32786-2026 FSC-klagomål mail.docx", "A 32786-2026")</f>
        <v/>
      </c>
      <c r="AC47">
        <f>HYPERLINK("https://klasma.github.io/Logging_0764/tillsyn/A 32786-2026 tillsynsbegäran.docx", "A 32786-2026")</f>
        <v/>
      </c>
      <c r="AD47">
        <f>HYPERLINK("https://klasma.github.io/Logging_0764/tillsynsmail/A 32786-2026 tillsynsbegäran mail.docx", "A 32786-2026")</f>
        <v/>
      </c>
    </row>
    <row r="48" ht="15" customHeight="1">
      <c r="A48" t="inlineStr">
        <is>
          <t>A 1811-2025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45670</v>
      </c>
      <c r="E48" s="1" t="n">
        <v>46255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Spillkråka</t>
        </is>
      </c>
      <c r="W48">
        <f>HYPERLINK("https://klasma.github.io/Logging_0764/artfynd/A 1811-2025 artfynd.xlsx", "A 1811-2025")</f>
        <v/>
      </c>
      <c r="X48">
        <f>HYPERLINK("https://klasma.github.io/Logging_0764/kartor/A 1811-2025 karta.png", "A 1811-2025")</f>
        <v/>
      </c>
      <c r="Y48">
        <f>HYPERLINK("https://klasma.github.io/Logging_0764/kartor_geotiff/A 1811-2025 georefererad karta.tif", "A 1811-2025")</f>
        <v/>
      </c>
      <c r="AA48">
        <f>HYPERLINK("https://klasma.github.io/Logging_0764/klagomål/A 1811-2025 FSC-klagomål.docx", "A 1811-2025")</f>
        <v/>
      </c>
      <c r="AB48">
        <f>HYPERLINK("https://klasma.github.io/Logging_0764/klagomålsmail/A 1811-2025 FSC-klagomål mail.docx", "A 1811-2025")</f>
        <v/>
      </c>
      <c r="AC48">
        <f>HYPERLINK("https://klasma.github.io/Logging_0764/tillsyn/A 1811-2025 tillsynsbegäran.docx", "A 1811-2025")</f>
        <v/>
      </c>
      <c r="AD48">
        <f>HYPERLINK("https://klasma.github.io/Logging_0764/tillsynsmail/A 1811-2025 tillsynsbegäran mail.docx", "A 1811-2025")</f>
        <v/>
      </c>
      <c r="AE48">
        <f>HYPERLINK("https://klasma.github.io/Logging_0764/fåglar/A 1811-2025 prioriterade fågelarter.docx", "A 1811-2025")</f>
        <v/>
      </c>
    </row>
    <row r="49" ht="15" customHeight="1">
      <c r="A49" t="inlineStr">
        <is>
          <t>A 44406-2024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46255</v>
      </c>
      <c r="F49" t="inlineStr">
        <is>
          <t>KRONOBERGS LÄN</t>
        </is>
      </c>
      <c r="G49" t="inlineStr">
        <is>
          <t>ALVESTA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HYPERLINK("https://klasma.github.io/Logging_0764/artfynd/A 44406-2024 artfynd.xlsx", "A 44406-2024")</f>
        <v/>
      </c>
      <c r="X49">
        <f>HYPERLINK("https://klasma.github.io/Logging_0764/kartor/A 44406-2024 karta.png", "A 44406-2024")</f>
        <v/>
      </c>
      <c r="Y49">
        <f>HYPERLINK("https://klasma.github.io/Logging_0764/kartor_geotiff/A 44406-2024 georefererad karta.tif", "A 44406-2024")</f>
        <v/>
      </c>
      <c r="AA49">
        <f>HYPERLINK("https://klasma.github.io/Logging_0764/klagomål/A 44406-2024 FSC-klagomål.docx", "A 44406-2024")</f>
        <v/>
      </c>
      <c r="AB49">
        <f>HYPERLINK("https://klasma.github.io/Logging_0764/klagomålsmail/A 44406-2024 FSC-klagomål mail.docx", "A 44406-2024")</f>
        <v/>
      </c>
      <c r="AC49">
        <f>HYPERLINK("https://klasma.github.io/Logging_0764/tillsyn/A 44406-2024 tillsynsbegäran.docx", "A 44406-2024")</f>
        <v/>
      </c>
      <c r="AD49">
        <f>HYPERLINK("https://klasma.github.io/Logging_0764/tillsynsmail/A 44406-2024 tillsynsbegäran mail.docx", "A 44406-2024")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46255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46255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46255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46255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46255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46255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46255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46255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46255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46255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46255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46255</v>
      </c>
      <c r="F61" t="inlineStr">
        <is>
          <t>KRONOBERGS LÄN</t>
        </is>
      </c>
      <c r="G61" t="inlineStr">
        <is>
          <t>ALVESTA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46255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46255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46255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46255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46255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46255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46255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46255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46255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46255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46255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46255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46255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46255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46255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46255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46255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46255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46255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46255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46255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46255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44504</v>
      </c>
      <c r="E84" s="1" t="n">
        <v>46255</v>
      </c>
      <c r="F84" t="inlineStr">
        <is>
          <t>KRONOBERGS LÄN</t>
        </is>
      </c>
      <c r="G84" t="inlineStr">
        <is>
          <t>ALVESTA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46255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46255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46255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46255</v>
      </c>
      <c r="F88" t="inlineStr">
        <is>
          <t>KRONOBERGS LÄN</t>
        </is>
      </c>
      <c r="G88" t="inlineStr">
        <is>
          <t>ALVESTA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46255</v>
      </c>
      <c r="F89" t="inlineStr">
        <is>
          <t>KRONOBERGS LÄN</t>
        </is>
      </c>
      <c r="G89" t="inlineStr">
        <is>
          <t>ALVESTA</t>
        </is>
      </c>
      <c r="H89" t="inlineStr">
        <is>
          <t>Kommuner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46255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46255</v>
      </c>
      <c r="F91" t="inlineStr">
        <is>
          <t>KRONOBERGS LÄN</t>
        </is>
      </c>
      <c r="G91" t="inlineStr">
        <is>
          <t>ALVESTA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46255</v>
      </c>
      <c r="F92" t="inlineStr">
        <is>
          <t>KRONOBERGS LÄN</t>
        </is>
      </c>
      <c r="G92" t="inlineStr">
        <is>
          <t>ALVESTA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46255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46255</v>
      </c>
      <c r="F94" t="inlineStr">
        <is>
          <t>KRONOBERGS LÄN</t>
        </is>
      </c>
      <c r="G94" t="inlineStr">
        <is>
          <t>ALVESTA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46255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44859</v>
      </c>
      <c r="E96" s="1" t="n">
        <v>46255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44833</v>
      </c>
      <c r="E97" s="1" t="n">
        <v>46255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46255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46255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46255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46255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46255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46255</v>
      </c>
      <c r="F103" t="inlineStr">
        <is>
          <t>KRONOBERGS LÄN</t>
        </is>
      </c>
      <c r="G103" t="inlineStr">
        <is>
          <t>ALVESTA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44854</v>
      </c>
      <c r="E104" s="1" t="n">
        <v>46255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44728</v>
      </c>
      <c r="E105" s="1" t="n">
        <v>46255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46255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44538</v>
      </c>
      <c r="E107" s="1" t="n">
        <v>46255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44461</v>
      </c>
      <c r="E108" s="1" t="n">
        <v>46255</v>
      </c>
      <c r="F108" t="inlineStr">
        <is>
          <t>KRONOBERGS LÄN</t>
        </is>
      </c>
      <c r="G108" t="inlineStr">
        <is>
          <t>ALVESTA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46255</v>
      </c>
      <c r="F109" t="inlineStr">
        <is>
          <t>KRONOBERGS LÄN</t>
        </is>
      </c>
      <c r="G109" t="inlineStr">
        <is>
          <t>ALVESTA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46255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26368-2022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44735</v>
      </c>
      <c r="E111" s="1" t="n">
        <v>46255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46255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44592</v>
      </c>
      <c r="E113" s="1" t="n">
        <v>46255</v>
      </c>
      <c r="F113" t="inlineStr">
        <is>
          <t>KRONOBERGS LÄN</t>
        </is>
      </c>
      <c r="G113" t="inlineStr">
        <is>
          <t>ALVESTA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51521-2021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46255</v>
      </c>
      <c r="F114" t="inlineStr">
        <is>
          <t>KRONOBERGS LÄN</t>
        </is>
      </c>
      <c r="G114" t="inlineStr">
        <is>
          <t>ALVESTA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46255</v>
      </c>
      <c r="F115" t="inlineStr">
        <is>
          <t>KRONOBERGS LÄN</t>
        </is>
      </c>
      <c r="G115" t="inlineStr">
        <is>
          <t>ALVESTA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44477</v>
      </c>
      <c r="E116" s="1" t="n">
        <v>46255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46255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46255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46255</v>
      </c>
      <c r="F119" t="inlineStr">
        <is>
          <t>KRONOBERGS LÄN</t>
        </is>
      </c>
      <c r="G119" t="inlineStr">
        <is>
          <t>ALVESTA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46255</v>
      </c>
      <c r="F120" t="inlineStr">
        <is>
          <t>KRONOBERGS LÄN</t>
        </is>
      </c>
      <c r="G120" t="inlineStr">
        <is>
          <t>ALVESTA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44804</v>
      </c>
      <c r="E121" s="1" t="n">
        <v>46255</v>
      </c>
      <c r="F121" t="inlineStr">
        <is>
          <t>KRONOBERGS LÄN</t>
        </is>
      </c>
      <c r="G121" t="inlineStr">
        <is>
          <t>ALVESTA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46255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45329</v>
      </c>
      <c r="E123" s="1" t="n">
        <v>46255</v>
      </c>
      <c r="F123" t="inlineStr">
        <is>
          <t>KRONOBERGS LÄN</t>
        </is>
      </c>
      <c r="G123" t="inlineStr">
        <is>
          <t>ALVESTA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46255</v>
      </c>
      <c r="F124" t="inlineStr">
        <is>
          <t>KRONOBERGS LÄN</t>
        </is>
      </c>
      <c r="G124" t="inlineStr">
        <is>
          <t>ALVESTA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46255</v>
      </c>
      <c r="F125" t="inlineStr">
        <is>
          <t>KRONOBERGS LÄN</t>
        </is>
      </c>
      <c r="G125" t="inlineStr">
        <is>
          <t>ALVESTA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44783</v>
      </c>
      <c r="E126" s="1" t="n">
        <v>46255</v>
      </c>
      <c r="F126" t="inlineStr">
        <is>
          <t>KRONOBERGS LÄN</t>
        </is>
      </c>
      <c r="G126" t="inlineStr">
        <is>
          <t>ALVESTA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46255</v>
      </c>
      <c r="F127" t="inlineStr">
        <is>
          <t>KRONOBERGS LÄN</t>
        </is>
      </c>
      <c r="G127" t="inlineStr">
        <is>
          <t>ALVESTA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45512</v>
      </c>
      <c r="E128" s="1" t="n">
        <v>46255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44739</v>
      </c>
      <c r="E129" s="1" t="n">
        <v>46255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46255</v>
      </c>
      <c r="F130" t="inlineStr">
        <is>
          <t>KRONOBERGS LÄN</t>
        </is>
      </c>
      <c r="G130" t="inlineStr">
        <is>
          <t>ALVESTA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46255</v>
      </c>
      <c r="F131" t="inlineStr">
        <is>
          <t>KRONOBERGS LÄN</t>
        </is>
      </c>
      <c r="G131" t="inlineStr">
        <is>
          <t>ALVESTA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46255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45136</v>
      </c>
      <c r="E133" s="1" t="n">
        <v>46255</v>
      </c>
      <c r="F133" t="inlineStr">
        <is>
          <t>KRONOBERGS LÄN</t>
        </is>
      </c>
      <c r="G133" t="inlineStr">
        <is>
          <t>ALVESTA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45128</v>
      </c>
      <c r="E134" s="1" t="n">
        <v>46255</v>
      </c>
      <c r="F134" t="inlineStr">
        <is>
          <t>KRONOBERGS LÄN</t>
        </is>
      </c>
      <c r="G134" t="inlineStr">
        <is>
          <t>ALVESTA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45236</v>
      </c>
      <c r="E135" s="1" t="n">
        <v>46255</v>
      </c>
      <c r="F135" t="inlineStr">
        <is>
          <t>KRONOBERGS LÄN</t>
        </is>
      </c>
      <c r="G135" t="inlineStr">
        <is>
          <t>ALVESTA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46255</v>
      </c>
      <c r="F136" t="inlineStr">
        <is>
          <t>KRONOBERGS LÄN</t>
        </is>
      </c>
      <c r="G136" t="inlineStr">
        <is>
          <t>ALVESTA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49556-2021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46255</v>
      </c>
      <c r="F137" t="inlineStr">
        <is>
          <t>KRONOBERGS LÄN</t>
        </is>
      </c>
      <c r="G137" t="inlineStr">
        <is>
          <t>ALVESTA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46255</v>
      </c>
      <c r="F138" t="inlineStr">
        <is>
          <t>KRONOBERGS LÄN</t>
        </is>
      </c>
      <c r="G138" t="inlineStr">
        <is>
          <t>ALVESTA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60478-2023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45259</v>
      </c>
      <c r="E139" s="1" t="n">
        <v>46255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45384</v>
      </c>
      <c r="E140" s="1" t="n">
        <v>46255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46255</v>
      </c>
      <c r="F141" t="inlineStr">
        <is>
          <t>KRONOBERGS LÄN</t>
        </is>
      </c>
      <c r="G141" t="inlineStr">
        <is>
          <t>ALVESTA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45407</v>
      </c>
      <c r="E142" s="1" t="n">
        <v>46255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46255</v>
      </c>
      <c r="F143" t="inlineStr">
        <is>
          <t>KRONOBERGS LÄN</t>
        </is>
      </c>
      <c r="G143" t="inlineStr">
        <is>
          <t>ALVESTA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44901</v>
      </c>
      <c r="E144" s="1" t="n">
        <v>46255</v>
      </c>
      <c r="F144" t="inlineStr">
        <is>
          <t>KRONOBERGS LÄN</t>
        </is>
      </c>
      <c r="G144" t="inlineStr">
        <is>
          <t>ALVESTA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44839</v>
      </c>
      <c r="E145" s="1" t="n">
        <v>46255</v>
      </c>
      <c r="F145" t="inlineStr">
        <is>
          <t>KRONOBERGS LÄN</t>
        </is>
      </c>
      <c r="G145" t="inlineStr">
        <is>
          <t>ALVESTA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45462</v>
      </c>
      <c r="E146" s="1" t="n">
        <v>46255</v>
      </c>
      <c r="F146" t="inlineStr">
        <is>
          <t>KRONOBERGS LÄN</t>
        </is>
      </c>
      <c r="G146" t="inlineStr">
        <is>
          <t>ALVESTA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46255</v>
      </c>
      <c r="F147" t="inlineStr">
        <is>
          <t>KRONOBERGS LÄN</t>
        </is>
      </c>
      <c r="G147" t="inlineStr">
        <is>
          <t>ALVESTA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45320</v>
      </c>
      <c r="E148" s="1" t="n">
        <v>46255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46255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44973</v>
      </c>
      <c r="E150" s="1" t="n">
        <v>46255</v>
      </c>
      <c r="F150" t="inlineStr">
        <is>
          <t>KRONOBERGS LÄN</t>
        </is>
      </c>
      <c r="G150" t="inlineStr">
        <is>
          <t>ALVESTA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46255</v>
      </c>
      <c r="F151" t="inlineStr">
        <is>
          <t>KRONOBERGS LÄN</t>
        </is>
      </c>
      <c r="G151" t="inlineStr">
        <is>
          <t>ALVESTA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37839-2024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46255</v>
      </c>
      <c r="F152" t="inlineStr">
        <is>
          <t>KRONOBERGS LÄN</t>
        </is>
      </c>
      <c r="G152" t="inlineStr">
        <is>
          <t>ALVESTA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46255</v>
      </c>
      <c r="F153" t="inlineStr">
        <is>
          <t>KRONOBERGS LÄN</t>
        </is>
      </c>
      <c r="G153" t="inlineStr">
        <is>
          <t>ALVESTA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45436</v>
      </c>
      <c r="E154" s="1" t="n">
        <v>46255</v>
      </c>
      <c r="F154" t="inlineStr">
        <is>
          <t>KRONOBERGS LÄN</t>
        </is>
      </c>
      <c r="G154" t="inlineStr">
        <is>
          <t>ALVESTA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44873</v>
      </c>
      <c r="E155" s="1" t="n">
        <v>46255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45305</v>
      </c>
      <c r="E156" s="1" t="n">
        <v>46255</v>
      </c>
      <c r="F156" t="inlineStr">
        <is>
          <t>KRONOBERGS LÄN</t>
        </is>
      </c>
      <c r="G156" t="inlineStr">
        <is>
          <t>ALVESTA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46255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45414</v>
      </c>
      <c r="E158" s="1" t="n">
        <v>46255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45518</v>
      </c>
      <c r="E159" s="1" t="n">
        <v>46255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45436</v>
      </c>
      <c r="E160" s="1" t="n">
        <v>46255</v>
      </c>
      <c r="F160" t="inlineStr">
        <is>
          <t>KRONOBERGS LÄN</t>
        </is>
      </c>
      <c r="G160" t="inlineStr">
        <is>
          <t>ALVESTA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44818-2024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45574</v>
      </c>
      <c r="E161" s="1" t="n">
        <v>46255</v>
      </c>
      <c r="F161" t="inlineStr">
        <is>
          <t>KRONOBERGS LÄN</t>
        </is>
      </c>
      <c r="G161" t="inlineStr">
        <is>
          <t>ALVESTA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9687-2024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45362</v>
      </c>
      <c r="E162" s="1" t="n">
        <v>46255</v>
      </c>
      <c r="F162" t="inlineStr">
        <is>
          <t>KRONOBERGS LÄN</t>
        </is>
      </c>
      <c r="G162" t="inlineStr">
        <is>
          <t>ALVESTA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46255</v>
      </c>
      <c r="F163" t="inlineStr">
        <is>
          <t>KRONOBERGS LÄN</t>
        </is>
      </c>
      <c r="G163" t="inlineStr">
        <is>
          <t>ALVESTA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44938</v>
      </c>
      <c r="E164" s="1" t="n">
        <v>46255</v>
      </c>
      <c r="F164" t="inlineStr">
        <is>
          <t>KRONOBERGS LÄN</t>
        </is>
      </c>
      <c r="G164" t="inlineStr">
        <is>
          <t>ALVESTA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46255</v>
      </c>
      <c r="F165" t="inlineStr">
        <is>
          <t>KRONOBERGS LÄN</t>
        </is>
      </c>
      <c r="G165" t="inlineStr">
        <is>
          <t>ALVESTA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44656</v>
      </c>
      <c r="E166" s="1" t="n">
        <v>46255</v>
      </c>
      <c r="F166" t="inlineStr">
        <is>
          <t>KRONOBERGS LÄN</t>
        </is>
      </c>
      <c r="G166" t="inlineStr">
        <is>
          <t>ALVESTA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46255</v>
      </c>
      <c r="F167" t="inlineStr">
        <is>
          <t>KRONOBERGS LÄN</t>
        </is>
      </c>
      <c r="G167" t="inlineStr">
        <is>
          <t>ALVESTA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46255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45384</v>
      </c>
      <c r="E169" s="1" t="n">
        <v>46255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45546</v>
      </c>
      <c r="E170" s="1" t="n">
        <v>46255</v>
      </c>
      <c r="F170" t="inlineStr">
        <is>
          <t>KRONOBERGS LÄN</t>
        </is>
      </c>
      <c r="G170" t="inlineStr">
        <is>
          <t>ALVESTA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45349</v>
      </c>
      <c r="E171" s="1" t="n">
        <v>46255</v>
      </c>
      <c r="F171" t="inlineStr">
        <is>
          <t>KRONOBERGS LÄN</t>
        </is>
      </c>
      <c r="G171" t="inlineStr">
        <is>
          <t>ALVESTA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46255</v>
      </c>
      <c r="F172" t="inlineStr">
        <is>
          <t>KRONOBERGS LÄN</t>
        </is>
      </c>
      <c r="G172" t="inlineStr">
        <is>
          <t>ALVESTA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45821</v>
      </c>
      <c r="E173" s="1" t="n">
        <v>46255</v>
      </c>
      <c r="F173" t="inlineStr">
        <is>
          <t>KRONOBERGS LÄN</t>
        </is>
      </c>
      <c r="G173" t="inlineStr">
        <is>
          <t>ALVESTA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43959-2022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46255</v>
      </c>
      <c r="F174" t="inlineStr">
        <is>
          <t>KRONOBERGS LÄN</t>
        </is>
      </c>
      <c r="G174" t="inlineStr">
        <is>
          <t>ALVESTA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46255</v>
      </c>
      <c r="F175" t="inlineStr">
        <is>
          <t>KRONOBERGS LÄN</t>
        </is>
      </c>
      <c r="G175" t="inlineStr">
        <is>
          <t>ALVESTA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45447</v>
      </c>
      <c r="E176" s="1" t="n">
        <v>46255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42467-2024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45565</v>
      </c>
      <c r="E177" s="1" t="n">
        <v>46255</v>
      </c>
      <c r="F177" t="inlineStr">
        <is>
          <t>KRONOBERGS LÄN</t>
        </is>
      </c>
      <c r="G177" t="inlineStr">
        <is>
          <t>ALVESTA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46255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46255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46255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46255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44972</v>
      </c>
      <c r="E182" s="1" t="n">
        <v>46255</v>
      </c>
      <c r="F182" t="inlineStr">
        <is>
          <t>KRONOBERGS LÄN</t>
        </is>
      </c>
      <c r="G182" t="inlineStr">
        <is>
          <t>ALVESTA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46255</v>
      </c>
      <c r="F183" t="inlineStr">
        <is>
          <t>KRONOBERGS LÄN</t>
        </is>
      </c>
      <c r="G183" t="inlineStr">
        <is>
          <t>ALVESTA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45769</v>
      </c>
      <c r="E184" s="1" t="n">
        <v>46255</v>
      </c>
      <c r="F184" t="inlineStr">
        <is>
          <t>KRONOBERGS LÄN</t>
        </is>
      </c>
      <c r="G184" t="inlineStr">
        <is>
          <t>ALVESTA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45524</v>
      </c>
      <c r="E185" s="1" t="n">
        <v>46255</v>
      </c>
      <c r="F185" t="inlineStr">
        <is>
          <t>KRONOBERGS LÄN</t>
        </is>
      </c>
      <c r="G185" t="inlineStr">
        <is>
          <t>ALVESTA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46255</v>
      </c>
      <c r="F186" t="inlineStr">
        <is>
          <t>KRONOBERGS LÄN</t>
        </is>
      </c>
      <c r="G186" t="inlineStr">
        <is>
          <t>ALVESTA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45338</v>
      </c>
      <c r="E187" s="1" t="n">
        <v>46255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46255</v>
      </c>
      <c r="F188" t="inlineStr">
        <is>
          <t>KRONOBERGS LÄN</t>
        </is>
      </c>
      <c r="G188" t="inlineStr">
        <is>
          <t>ALVESTA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46255</v>
      </c>
      <c r="F189" t="inlineStr">
        <is>
          <t>KRONOBERGS LÄN</t>
        </is>
      </c>
      <c r="G189" t="inlineStr">
        <is>
          <t>ALVESTA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46255</v>
      </c>
      <c r="F190" t="inlineStr">
        <is>
          <t>KRONOBERGS LÄN</t>
        </is>
      </c>
      <c r="G190" t="inlineStr">
        <is>
          <t>ALVESTA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46255</v>
      </c>
      <c r="F191" t="inlineStr">
        <is>
          <t>KRONOBERGS LÄN</t>
        </is>
      </c>
      <c r="G191" t="inlineStr">
        <is>
          <t>ALVESTA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45229</v>
      </c>
      <c r="E192" s="1" t="n">
        <v>46255</v>
      </c>
      <c r="F192" t="inlineStr">
        <is>
          <t>KRONOBERGS LÄN</t>
        </is>
      </c>
      <c r="G192" t="inlineStr">
        <is>
          <t>ALVESTA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46255</v>
      </c>
      <c r="F193" t="inlineStr">
        <is>
          <t>KRONOBERGS LÄN</t>
        </is>
      </c>
      <c r="G193" t="inlineStr">
        <is>
          <t>ALVESTA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46255</v>
      </c>
      <c r="F194" t="inlineStr">
        <is>
          <t>KRONOBERGS LÄN</t>
        </is>
      </c>
      <c r="G194" t="inlineStr">
        <is>
          <t>ALVESTA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46255</v>
      </c>
      <c r="F195" t="inlineStr">
        <is>
          <t>KRONOBERGS LÄN</t>
        </is>
      </c>
      <c r="G195" t="inlineStr">
        <is>
          <t>ALVESTA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46063</v>
      </c>
      <c r="E196" s="1" t="n">
        <v>46255</v>
      </c>
      <c r="F196" t="inlineStr">
        <is>
          <t>KRONOBERGS LÄN</t>
        </is>
      </c>
      <c r="G196" t="inlineStr">
        <is>
          <t>ALVESTA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46255</v>
      </c>
      <c r="F197" t="inlineStr">
        <is>
          <t>KRONOBERGS LÄN</t>
        </is>
      </c>
      <c r="G197" t="inlineStr">
        <is>
          <t>ALVESTA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46255</v>
      </c>
      <c r="F198" t="inlineStr">
        <is>
          <t>KRONOBERGS LÄN</t>
        </is>
      </c>
      <c r="G198" t="inlineStr">
        <is>
          <t>ALVESTA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45804</v>
      </c>
      <c r="E199" s="1" t="n">
        <v>46255</v>
      </c>
      <c r="F199" t="inlineStr">
        <is>
          <t>KRONOBERGS LÄN</t>
        </is>
      </c>
      <c r="G199" t="inlineStr">
        <is>
          <t>ALVESTA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46255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60487-2023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45259</v>
      </c>
      <c r="E201" s="1" t="n">
        <v>46255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34530-2025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45847</v>
      </c>
      <c r="E202" s="1" t="n">
        <v>46255</v>
      </c>
      <c r="F202" t="inlineStr">
        <is>
          <t>KRONOBERGS LÄN</t>
        </is>
      </c>
      <c r="G202" t="inlineStr">
        <is>
          <t>ALVESTA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45218</v>
      </c>
      <c r="E203" s="1" t="n">
        <v>46255</v>
      </c>
      <c r="F203" t="inlineStr">
        <is>
          <t>KRONOBERGS LÄN</t>
        </is>
      </c>
      <c r="G203" t="inlineStr">
        <is>
          <t>ALVESTA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46255</v>
      </c>
      <c r="F204" t="inlineStr">
        <is>
          <t>KRONOBERGS LÄN</t>
        </is>
      </c>
      <c r="G204" t="inlineStr">
        <is>
          <t>ALVESTA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45852</v>
      </c>
      <c r="E205" s="1" t="n">
        <v>46255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60202-2021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44495</v>
      </c>
      <c r="E206" s="1" t="n">
        <v>46255</v>
      </c>
      <c r="F206" t="inlineStr">
        <is>
          <t>KRONOBERGS LÄN</t>
        </is>
      </c>
      <c r="G206" t="inlineStr">
        <is>
          <t>ALVESTA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46255</v>
      </c>
      <c r="F207" t="inlineStr">
        <is>
          <t>KRONOBERGS LÄN</t>
        </is>
      </c>
      <c r="G207" t="inlineStr">
        <is>
          <t>ALVESTA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45628</v>
      </c>
      <c r="E208" s="1" t="n">
        <v>46255</v>
      </c>
      <c r="F208" t="inlineStr">
        <is>
          <t>KRONOBERGS LÄN</t>
        </is>
      </c>
      <c r="G208" t="inlineStr">
        <is>
          <t>ALVESTA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45593</v>
      </c>
      <c r="E209" s="1" t="n">
        <v>46255</v>
      </c>
      <c r="F209" t="inlineStr">
        <is>
          <t>KRONOBERGS LÄN</t>
        </is>
      </c>
      <c r="G209" t="inlineStr">
        <is>
          <t>ALVESTA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45608</v>
      </c>
      <c r="E210" s="1" t="n">
        <v>46255</v>
      </c>
      <c r="F210" t="inlineStr">
        <is>
          <t>KRONOBERGS LÄN</t>
        </is>
      </c>
      <c r="G210" t="inlineStr">
        <is>
          <t>ALVESTA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46255</v>
      </c>
      <c r="F211" t="inlineStr">
        <is>
          <t>KRONOBERGS LÄN</t>
        </is>
      </c>
      <c r="G211" t="inlineStr">
        <is>
          <t>ALVESTA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46255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45868</v>
      </c>
      <c r="E213" s="1" t="n">
        <v>46255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44735</v>
      </c>
      <c r="E214" s="1" t="n">
        <v>46255</v>
      </c>
      <c r="F214" t="inlineStr">
        <is>
          <t>KRONOBERGS LÄN</t>
        </is>
      </c>
      <c r="G214" t="inlineStr">
        <is>
          <t>ALVESTA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45467</v>
      </c>
      <c r="E215" s="1" t="n">
        <v>46255</v>
      </c>
      <c r="F215" t="inlineStr">
        <is>
          <t>KRONOBERGS LÄN</t>
        </is>
      </c>
      <c r="G215" t="inlineStr">
        <is>
          <t>ALVESTA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46255</v>
      </c>
      <c r="F216" t="inlineStr">
        <is>
          <t>KRONOBERGS LÄN</t>
        </is>
      </c>
      <c r="G216" t="inlineStr">
        <is>
          <t>ALVESTA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42195-2025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46255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46255</v>
      </c>
      <c r="F218" t="inlineStr">
        <is>
          <t>KRONOBERGS LÄN</t>
        </is>
      </c>
      <c r="G218" t="inlineStr">
        <is>
          <t>ALVESTA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45904</v>
      </c>
      <c r="E219" s="1" t="n">
        <v>46255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46255</v>
      </c>
      <c r="F220" t="inlineStr">
        <is>
          <t>KRONOBERGS LÄN</t>
        </is>
      </c>
      <c r="G220" t="inlineStr">
        <is>
          <t>ALVESTA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45426</v>
      </c>
      <c r="E221" s="1" t="n">
        <v>46255</v>
      </c>
      <c r="F221" t="inlineStr">
        <is>
          <t>KRONOBERGS LÄN</t>
        </is>
      </c>
      <c r="G221" t="inlineStr">
        <is>
          <t>ALVESTA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46255</v>
      </c>
      <c r="F222" t="inlineStr">
        <is>
          <t>KRONOBERGS LÄN</t>
        </is>
      </c>
      <c r="G222" t="inlineStr">
        <is>
          <t>ALVESTA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45875</v>
      </c>
      <c r="E223" s="1" t="n">
        <v>46255</v>
      </c>
      <c r="F223" t="inlineStr">
        <is>
          <t>KRONOBERGS LÄN</t>
        </is>
      </c>
      <c r="G223" t="inlineStr">
        <is>
          <t>ALVESTA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46255</v>
      </c>
      <c r="F224" t="inlineStr">
        <is>
          <t>KRONOBERGS LÄN</t>
        </is>
      </c>
      <c r="G224" t="inlineStr">
        <is>
          <t>ALVESTA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46255</v>
      </c>
      <c r="F225" t="inlineStr">
        <is>
          <t>KRONOBERGS LÄN</t>
        </is>
      </c>
      <c r="G225" t="inlineStr">
        <is>
          <t>ALVESTA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44528-2025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45916</v>
      </c>
      <c r="E226" s="1" t="n">
        <v>46255</v>
      </c>
      <c r="F226" t="inlineStr">
        <is>
          <t>KRONOBERGS LÄN</t>
        </is>
      </c>
      <c r="G226" t="inlineStr">
        <is>
          <t>ALVESTA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45075</v>
      </c>
      <c r="E227" s="1" t="n">
        <v>46255</v>
      </c>
      <c r="F227" t="inlineStr">
        <is>
          <t>KRONOBERGS LÄN</t>
        </is>
      </c>
      <c r="G227" t="inlineStr">
        <is>
          <t>ALVESTA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46255</v>
      </c>
      <c r="F228" t="inlineStr">
        <is>
          <t>KRONOBERGS LÄN</t>
        </is>
      </c>
      <c r="G228" t="inlineStr">
        <is>
          <t>ALVESTA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10861-2023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44991</v>
      </c>
      <c r="E229" s="1" t="n">
        <v>46255</v>
      </c>
      <c r="F229" t="inlineStr">
        <is>
          <t>KRONOBERGS LÄN</t>
        </is>
      </c>
      <c r="G229" t="inlineStr">
        <is>
          <t>ALVESTA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45079</v>
      </c>
      <c r="E230" s="1" t="n">
        <v>46255</v>
      </c>
      <c r="F230" t="inlineStr">
        <is>
          <t>KRONOBERGS LÄN</t>
        </is>
      </c>
      <c r="G230" t="inlineStr">
        <is>
          <t>ALVESTA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46255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26225-2022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44735</v>
      </c>
      <c r="E232" s="1" t="n">
        <v>46255</v>
      </c>
      <c r="F232" t="inlineStr">
        <is>
          <t>KRONOBERGS LÄN</t>
        </is>
      </c>
      <c r="G232" t="inlineStr">
        <is>
          <t>ALVESTA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46255</v>
      </c>
      <c r="F233" t="inlineStr">
        <is>
          <t>KRONOBERGS LÄN</t>
        </is>
      </c>
      <c r="G233" t="inlineStr">
        <is>
          <t>ALVESTA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46255</v>
      </c>
      <c r="F234" t="inlineStr">
        <is>
          <t>KRONOBERGS LÄN</t>
        </is>
      </c>
      <c r="G234" t="inlineStr">
        <is>
          <t>ALVESTA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44805</v>
      </c>
      <c r="E235" s="1" t="n">
        <v>46255</v>
      </c>
      <c r="F235" t="inlineStr">
        <is>
          <t>KRONOBERGS LÄN</t>
        </is>
      </c>
      <c r="G235" t="inlineStr">
        <is>
          <t>ALVESTA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46079</v>
      </c>
      <c r="E236" s="1" t="n">
        <v>46255</v>
      </c>
      <c r="F236" t="inlineStr">
        <is>
          <t>KRONOBERGS LÄN</t>
        </is>
      </c>
      <c r="G236" t="inlineStr">
        <is>
          <t>ALVESTA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39263-2023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45166</v>
      </c>
      <c r="E237" s="1" t="n">
        <v>46255</v>
      </c>
      <c r="F237" t="inlineStr">
        <is>
          <t>KRONOBERGS LÄN</t>
        </is>
      </c>
      <c r="G237" t="inlineStr">
        <is>
          <t>ALVESTA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45860</v>
      </c>
      <c r="E238" s="1" t="n">
        <v>46255</v>
      </c>
      <c r="F238" t="inlineStr">
        <is>
          <t>KRONOBERGS LÄN</t>
        </is>
      </c>
      <c r="G238" t="inlineStr">
        <is>
          <t>ALVESTA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46255</v>
      </c>
      <c r="F239" t="inlineStr">
        <is>
          <t>KRONOBERGS LÄN</t>
        </is>
      </c>
      <c r="G239" t="inlineStr">
        <is>
          <t>ALVESTA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46255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45385</v>
      </c>
      <c r="E241" s="1" t="n">
        <v>46255</v>
      </c>
      <c r="F241" t="inlineStr">
        <is>
          <t>KRONOBERGS LÄN</t>
        </is>
      </c>
      <c r="G241" t="inlineStr">
        <is>
          <t>ALVESTA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44747</v>
      </c>
      <c r="E242" s="1" t="n">
        <v>46255</v>
      </c>
      <c r="F242" t="inlineStr">
        <is>
          <t>KRONOBERGS LÄN</t>
        </is>
      </c>
      <c r="G242" t="inlineStr">
        <is>
          <t>ALVESTA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46255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46255</v>
      </c>
      <c r="F244" t="inlineStr">
        <is>
          <t>KRONOBERGS LÄN</t>
        </is>
      </c>
      <c r="G244" t="inlineStr">
        <is>
          <t>ALVESTA</t>
        </is>
      </c>
      <c r="H244" t="inlineStr">
        <is>
          <t>Kommuner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47110-2025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46255</v>
      </c>
      <c r="F245" t="inlineStr">
        <is>
          <t>KRONOBERGS LÄN</t>
        </is>
      </c>
      <c r="G245" t="inlineStr">
        <is>
          <t>ALVESTA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53458-2024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45614</v>
      </c>
      <c r="E246" s="1" t="n">
        <v>46255</v>
      </c>
      <c r="F246" t="inlineStr">
        <is>
          <t>KRONOBERGS LÄN</t>
        </is>
      </c>
      <c r="G246" t="inlineStr">
        <is>
          <t>ALVESTA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45614</v>
      </c>
      <c r="E247" s="1" t="n">
        <v>46255</v>
      </c>
      <c r="F247" t="inlineStr">
        <is>
          <t>KRONOBERGS LÄN</t>
        </is>
      </c>
      <c r="G247" t="inlineStr">
        <is>
          <t>ALVESTA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45135</v>
      </c>
      <c r="E248" s="1" t="n">
        <v>46255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11331-2026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46081</v>
      </c>
      <c r="E249" s="1" t="n">
        <v>46255</v>
      </c>
      <c r="F249" t="inlineStr">
        <is>
          <t>KRONOBERGS LÄN</t>
        </is>
      </c>
      <c r="G249" t="inlineStr">
        <is>
          <t>ALVESTA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46255</v>
      </c>
      <c r="F250" t="inlineStr">
        <is>
          <t>KRONOBERGS LÄN</t>
        </is>
      </c>
      <c r="G250" t="inlineStr">
        <is>
          <t>ALVESTA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46255</v>
      </c>
      <c r="F251" t="inlineStr">
        <is>
          <t>KRONOBERGS LÄN</t>
        </is>
      </c>
      <c r="G251" t="inlineStr">
        <is>
          <t>ALVESTA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44783</v>
      </c>
      <c r="E252" s="1" t="n">
        <v>46255</v>
      </c>
      <c r="F252" t="inlineStr">
        <is>
          <t>KRONOBERGS LÄN</t>
        </is>
      </c>
      <c r="G252" t="inlineStr">
        <is>
          <t>ALVESTA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46255</v>
      </c>
      <c r="F253" t="inlineStr">
        <is>
          <t>KRONOBERGS LÄN</t>
        </is>
      </c>
      <c r="G253" t="inlineStr">
        <is>
          <t>ALVESTA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50733-2023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45217</v>
      </c>
      <c r="E254" s="1" t="n">
        <v>46255</v>
      </c>
      <c r="F254" t="inlineStr">
        <is>
          <t>KRONOBERGS LÄN</t>
        </is>
      </c>
      <c r="G254" t="inlineStr">
        <is>
          <t>ALVESTA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45163</v>
      </c>
      <c r="E255" s="1" t="n">
        <v>46255</v>
      </c>
      <c r="F255" t="inlineStr">
        <is>
          <t>KRONOBERGS LÄN</t>
        </is>
      </c>
      <c r="G255" t="inlineStr">
        <is>
          <t>ALVESTA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45673</v>
      </c>
      <c r="E256" s="1" t="n">
        <v>46255</v>
      </c>
      <c r="F256" t="inlineStr">
        <is>
          <t>KRONOBERGS LÄN</t>
        </is>
      </c>
      <c r="G256" t="inlineStr">
        <is>
          <t>ALVESTA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45673</v>
      </c>
      <c r="E257" s="1" t="n">
        <v>46255</v>
      </c>
      <c r="F257" t="inlineStr">
        <is>
          <t>KRONOBERGS LÄN</t>
        </is>
      </c>
      <c r="G257" t="inlineStr">
        <is>
          <t>ALVESTA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46255</v>
      </c>
      <c r="F258" t="inlineStr">
        <is>
          <t>KRONOBERGS LÄN</t>
        </is>
      </c>
      <c r="G258" t="inlineStr">
        <is>
          <t>ALVESTA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58648-2024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45635</v>
      </c>
      <c r="E259" s="1" t="n">
        <v>46255</v>
      </c>
      <c r="F259" t="inlineStr">
        <is>
          <t>KRONOBERGS LÄN</t>
        </is>
      </c>
      <c r="G259" t="inlineStr">
        <is>
          <t>ALVESTA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10860-2025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45722</v>
      </c>
      <c r="E260" s="1" t="n">
        <v>46255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45005</v>
      </c>
      <c r="E261" s="1" t="n">
        <v>46255</v>
      </c>
      <c r="F261" t="inlineStr">
        <is>
          <t>KRONOBERGS LÄN</t>
        </is>
      </c>
      <c r="G261" t="inlineStr">
        <is>
          <t>ALVESTA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46255</v>
      </c>
      <c r="F262" t="inlineStr">
        <is>
          <t>KRONOBERGS LÄN</t>
        </is>
      </c>
      <c r="G262" t="inlineStr">
        <is>
          <t>ALVESTA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46255</v>
      </c>
      <c r="F263" t="inlineStr">
        <is>
          <t>KRONOBERGS LÄN</t>
        </is>
      </c>
      <c r="G263" t="inlineStr">
        <is>
          <t>ALVESTA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57235-2024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46255</v>
      </c>
      <c r="F264" t="inlineStr">
        <is>
          <t>KRONOBERGS LÄN</t>
        </is>
      </c>
      <c r="G264" t="inlineStr">
        <is>
          <t>ALVESTA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12258-2026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46087</v>
      </c>
      <c r="E265" s="1" t="n">
        <v>46255</v>
      </c>
      <c r="F265" t="inlineStr">
        <is>
          <t>KRONOBERGS LÄN</t>
        </is>
      </c>
      <c r="G265" t="inlineStr">
        <is>
          <t>ALVESTA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46255</v>
      </c>
      <c r="F266" t="inlineStr">
        <is>
          <t>KRONOBERGS LÄN</t>
        </is>
      </c>
      <c r="G266" t="inlineStr">
        <is>
          <t>ALVESTA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45740</v>
      </c>
      <c r="E267" s="1" t="n">
        <v>46255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60770-2024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45644</v>
      </c>
      <c r="E268" s="1" t="n">
        <v>46255</v>
      </c>
      <c r="F268" t="inlineStr">
        <is>
          <t>KRONOBERGS LÄN</t>
        </is>
      </c>
      <c r="G268" t="inlineStr">
        <is>
          <t>ALVESTA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46255</v>
      </c>
      <c r="F269" t="inlineStr">
        <is>
          <t>KRONOBERGS LÄN</t>
        </is>
      </c>
      <c r="G269" t="inlineStr">
        <is>
          <t>ALVESTA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32978-2023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46255</v>
      </c>
      <c r="F270" t="inlineStr">
        <is>
          <t>KRONOBERGS LÄN</t>
        </is>
      </c>
      <c r="G270" t="inlineStr">
        <is>
          <t>ALVESTA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45476</v>
      </c>
      <c r="E271" s="1" t="n">
        <v>46255</v>
      </c>
      <c r="F271" t="inlineStr">
        <is>
          <t>KRONOBERGS LÄN</t>
        </is>
      </c>
      <c r="G271" t="inlineStr">
        <is>
          <t>ALVESTA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45763</v>
      </c>
      <c r="E272" s="1" t="n">
        <v>46255</v>
      </c>
      <c r="F272" t="inlineStr">
        <is>
          <t>KRONOBERGS LÄN</t>
        </is>
      </c>
      <c r="G272" t="inlineStr">
        <is>
          <t>ALVESTA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46255</v>
      </c>
      <c r="F273" t="inlineStr">
        <is>
          <t>KRONOBERGS LÄN</t>
        </is>
      </c>
      <c r="G273" t="inlineStr">
        <is>
          <t>ALVESTA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46255</v>
      </c>
      <c r="F274" t="inlineStr">
        <is>
          <t>KRONOBERGS LÄN</t>
        </is>
      </c>
      <c r="G274" t="inlineStr">
        <is>
          <t>ALVESTA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44487-2021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44435</v>
      </c>
      <c r="E275" s="1" t="n">
        <v>46255</v>
      </c>
      <c r="F275" t="inlineStr">
        <is>
          <t>KRONOBERGS LÄN</t>
        </is>
      </c>
      <c r="G275" t="inlineStr">
        <is>
          <t>ALVESTA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45092</v>
      </c>
      <c r="E276" s="1" t="n">
        <v>46255</v>
      </c>
      <c r="F276" t="inlineStr">
        <is>
          <t>KRONOBERGS LÄN</t>
        </is>
      </c>
      <c r="G276" t="inlineStr">
        <is>
          <t>ALVESTA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45267</v>
      </c>
      <c r="E277" s="1" t="n">
        <v>46255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46255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46255</v>
      </c>
      <c r="F279" t="inlineStr">
        <is>
          <t>KRONOBERGS LÄN</t>
        </is>
      </c>
      <c r="G279" t="inlineStr">
        <is>
          <t>ALVESTA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44805</v>
      </c>
      <c r="E280" s="1" t="n">
        <v>46255</v>
      </c>
      <c r="F280" t="inlineStr">
        <is>
          <t>KRONOBERGS LÄN</t>
        </is>
      </c>
      <c r="G280" t="inlineStr">
        <is>
          <t>ALVESTA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46255</v>
      </c>
      <c r="F281" t="inlineStr">
        <is>
          <t>KRONOBERGS LÄN</t>
        </is>
      </c>
      <c r="G281" t="inlineStr">
        <is>
          <t>ALVESTA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46255</v>
      </c>
      <c r="F282" t="inlineStr">
        <is>
          <t>KRONOBERGS LÄN</t>
        </is>
      </c>
      <c r="G282" t="inlineStr">
        <is>
          <t>ALVESTA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46255</v>
      </c>
      <c r="F283" t="inlineStr">
        <is>
          <t>KRONOBERGS LÄN</t>
        </is>
      </c>
      <c r="G283" t="inlineStr">
        <is>
          <t>ALVESTA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46255</v>
      </c>
      <c r="F284" t="inlineStr">
        <is>
          <t>KRONOBERGS LÄN</t>
        </is>
      </c>
      <c r="G284" t="inlineStr">
        <is>
          <t>ALVESTA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45771</v>
      </c>
      <c r="E285" s="1" t="n">
        <v>46255</v>
      </c>
      <c r="F285" t="inlineStr">
        <is>
          <t>KRONOBERGS LÄN</t>
        </is>
      </c>
      <c r="G285" t="inlineStr">
        <is>
          <t>ALVESTA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46255</v>
      </c>
      <c r="F286" t="inlineStr">
        <is>
          <t>KRONOBERGS LÄN</t>
        </is>
      </c>
      <c r="G286" t="inlineStr">
        <is>
          <t>ALVESTA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34220-2024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46255</v>
      </c>
      <c r="F287" t="inlineStr">
        <is>
          <t>KRONOBERGS LÄN</t>
        </is>
      </c>
      <c r="G287" t="inlineStr">
        <is>
          <t>ALVESTA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46255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46255</v>
      </c>
      <c r="F289" t="inlineStr">
        <is>
          <t>KRONOBERGS LÄN</t>
        </is>
      </c>
      <c r="G289" t="inlineStr">
        <is>
          <t>ALVESTA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30699-2023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46255</v>
      </c>
      <c r="F290" t="inlineStr">
        <is>
          <t>KRONOBERGS LÄN</t>
        </is>
      </c>
      <c r="G290" t="inlineStr">
        <is>
          <t>ALVESTA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46448-2021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44445</v>
      </c>
      <c r="E291" s="1" t="n">
        <v>46255</v>
      </c>
      <c r="F291" t="inlineStr">
        <is>
          <t>KRONOBERGS LÄN</t>
        </is>
      </c>
      <c r="G291" t="inlineStr">
        <is>
          <t>ALVESTA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46098</v>
      </c>
      <c r="E292" s="1" t="n">
        <v>46255</v>
      </c>
      <c r="F292" t="inlineStr">
        <is>
          <t>KRONOBERGS LÄN</t>
        </is>
      </c>
      <c r="G292" t="inlineStr">
        <is>
          <t>ALVESTA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46255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46255</v>
      </c>
      <c r="F294" t="inlineStr">
        <is>
          <t>KRONOBERGS LÄN</t>
        </is>
      </c>
      <c r="G294" t="inlineStr">
        <is>
          <t>ALVESTA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45076</v>
      </c>
      <c r="E295" s="1" t="n">
        <v>46255</v>
      </c>
      <c r="F295" t="inlineStr">
        <is>
          <t>KRONOBERGS LÄN</t>
        </is>
      </c>
      <c r="G295" t="inlineStr">
        <is>
          <t>ALVESTA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45538</v>
      </c>
      <c r="E296" s="1" t="n">
        <v>46255</v>
      </c>
      <c r="F296" t="inlineStr">
        <is>
          <t>KRONOBERGS LÄN</t>
        </is>
      </c>
      <c r="G296" t="inlineStr">
        <is>
          <t>ALVESTA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46255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44868</v>
      </c>
      <c r="E298" s="1" t="n">
        <v>46255</v>
      </c>
      <c r="F298" t="inlineStr">
        <is>
          <t>KRONOBERGS LÄN</t>
        </is>
      </c>
      <c r="G298" t="inlineStr">
        <is>
          <t>ALVESTA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46255</v>
      </c>
      <c r="F299" t="inlineStr">
        <is>
          <t>KRONOBERGS LÄN</t>
        </is>
      </c>
      <c r="G299" t="inlineStr">
        <is>
          <t>ALVESTA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46255</v>
      </c>
      <c r="F300" t="inlineStr">
        <is>
          <t>KRONOBERGS LÄN</t>
        </is>
      </c>
      <c r="G300" t="inlineStr">
        <is>
          <t>ALVESTA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46255</v>
      </c>
      <c r="F301" t="inlineStr">
        <is>
          <t>KRONOBERGS LÄN</t>
        </is>
      </c>
      <c r="G301" t="inlineStr">
        <is>
          <t>ALVESTA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28818-2022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46255</v>
      </c>
      <c r="F302" t="inlineStr">
        <is>
          <t>KRONOBERGS LÄN</t>
        </is>
      </c>
      <c r="G302" t="inlineStr">
        <is>
          <t>ALVESTA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53917-2022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44880</v>
      </c>
      <c r="E303" s="1" t="n">
        <v>46255</v>
      </c>
      <c r="F303" t="inlineStr">
        <is>
          <t>KRONOBERGS LÄN</t>
        </is>
      </c>
      <c r="G303" t="inlineStr">
        <is>
          <t>ALVESTA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46255</v>
      </c>
      <c r="F304" t="inlineStr">
        <is>
          <t>KRONOBERGS LÄN</t>
        </is>
      </c>
      <c r="G304" t="inlineStr">
        <is>
          <t>ALVESTA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45128</v>
      </c>
      <c r="E305" s="1" t="n">
        <v>46255</v>
      </c>
      <c r="F305" t="inlineStr">
        <is>
          <t>KRONOBERGS LÄN</t>
        </is>
      </c>
      <c r="G305" t="inlineStr">
        <is>
          <t>ALVESTA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46255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46255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45337</v>
      </c>
      <c r="E308" s="1" t="n">
        <v>46255</v>
      </c>
      <c r="F308" t="inlineStr">
        <is>
          <t>KRONOBERGS LÄN</t>
        </is>
      </c>
      <c r="G308" t="inlineStr">
        <is>
          <t>ALVESTA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45555</v>
      </c>
      <c r="E309" s="1" t="n">
        <v>46255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46255</v>
      </c>
      <c r="F310" t="inlineStr">
        <is>
          <t>KRONOBERGS LÄN</t>
        </is>
      </c>
      <c r="G310" t="inlineStr">
        <is>
          <t>ALVESTA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45296</v>
      </c>
      <c r="E311" s="1" t="n">
        <v>46255</v>
      </c>
      <c r="F311" t="inlineStr">
        <is>
          <t>KRONOBERGS LÄN</t>
        </is>
      </c>
      <c r="G311" t="inlineStr">
        <is>
          <t>ALVESTA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15171-2025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45744</v>
      </c>
      <c r="E312" s="1" t="n">
        <v>46255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46255</v>
      </c>
      <c r="F313" t="inlineStr">
        <is>
          <t>KRONOBERGS LÄN</t>
        </is>
      </c>
      <c r="G313" t="inlineStr">
        <is>
          <t>ALVESTA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46255</v>
      </c>
      <c r="F314" t="inlineStr">
        <is>
          <t>KRONOBERGS LÄN</t>
        </is>
      </c>
      <c r="G314" t="inlineStr">
        <is>
          <t>ALVESTA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46255</v>
      </c>
      <c r="F315" t="inlineStr">
        <is>
          <t>KRONOBERGS LÄN</t>
        </is>
      </c>
      <c r="G315" t="inlineStr">
        <is>
          <t>ALVESTA</t>
        </is>
      </c>
      <c r="H315" t="inlineStr">
        <is>
          <t>Övriga Aktiebolag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46255</v>
      </c>
      <c r="F316" t="inlineStr">
        <is>
          <t>KRONOBERGS LÄN</t>
        </is>
      </c>
      <c r="G316" t="inlineStr">
        <is>
          <t>ALVESTA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46255</v>
      </c>
      <c r="F317" t="inlineStr">
        <is>
          <t>KRONOBERGS LÄN</t>
        </is>
      </c>
      <c r="G317" t="inlineStr">
        <is>
          <t>ALVESTA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45726</v>
      </c>
      <c r="E318" s="1" t="n">
        <v>46255</v>
      </c>
      <c r="F318" t="inlineStr">
        <is>
          <t>KRONOBERGS LÄN</t>
        </is>
      </c>
      <c r="G318" t="inlineStr">
        <is>
          <t>ALVESTA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20628-2024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45436</v>
      </c>
      <c r="E319" s="1" t="n">
        <v>46255</v>
      </c>
      <c r="F319" t="inlineStr">
        <is>
          <t>KRONOBERGS LÄN</t>
        </is>
      </c>
      <c r="G319" t="inlineStr">
        <is>
          <t>ALVESTA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45436</v>
      </c>
      <c r="E320" s="1" t="n">
        <v>46255</v>
      </c>
      <c r="F320" t="inlineStr">
        <is>
          <t>KRONOBERGS LÄN</t>
        </is>
      </c>
      <c r="G320" t="inlineStr">
        <is>
          <t>ALVESTA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46255</v>
      </c>
      <c r="F321" t="inlineStr">
        <is>
          <t>KRONOBERGS LÄN</t>
        </is>
      </c>
      <c r="G321" t="inlineStr">
        <is>
          <t>ALVESTA</t>
        </is>
      </c>
      <c r="H321" t="inlineStr">
        <is>
          <t>Övriga Aktiebolag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38875-2022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44816</v>
      </c>
      <c r="E322" s="1" t="n">
        <v>46255</v>
      </c>
      <c r="F322" t="inlineStr">
        <is>
          <t>KRONOBERGS LÄN</t>
        </is>
      </c>
      <c r="G322" t="inlineStr">
        <is>
          <t>ALVESTA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60700-2025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45996</v>
      </c>
      <c r="E323" s="1" t="n">
        <v>46255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45996</v>
      </c>
      <c r="E324" s="1" t="n">
        <v>46255</v>
      </c>
      <c r="F324" t="inlineStr">
        <is>
          <t>KRONOBERGS LÄN</t>
        </is>
      </c>
      <c r="G324" t="inlineStr">
        <is>
          <t>ALVESTA</t>
        </is>
      </c>
      <c r="H324" t="inlineStr">
        <is>
          <t>Kyrkan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46255</v>
      </c>
      <c r="F325" t="inlineStr">
        <is>
          <t>KRONOBERGS LÄN</t>
        </is>
      </c>
      <c r="G325" t="inlineStr">
        <is>
          <t>ALVESTA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45110</v>
      </c>
      <c r="E326" s="1" t="n">
        <v>46255</v>
      </c>
      <c r="F326" t="inlineStr">
        <is>
          <t>KRONOBERGS LÄN</t>
        </is>
      </c>
      <c r="G326" t="inlineStr">
        <is>
          <t>ALVESTA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44907</v>
      </c>
      <c r="E327" s="1" t="n">
        <v>46255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45114</v>
      </c>
      <c r="E328" s="1" t="n">
        <v>46255</v>
      </c>
      <c r="F328" t="inlineStr">
        <is>
          <t>KRONOBERGS LÄN</t>
        </is>
      </c>
      <c r="G328" t="inlineStr">
        <is>
          <t>ALVESTA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14941-2023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45015</v>
      </c>
      <c r="E329" s="1" t="n">
        <v>46255</v>
      </c>
      <c r="F329" t="inlineStr">
        <is>
          <t>KRONOBERGS LÄN</t>
        </is>
      </c>
      <c r="G329" t="inlineStr">
        <is>
          <t>ALVESTA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45337</v>
      </c>
      <c r="E330" s="1" t="n">
        <v>46255</v>
      </c>
      <c r="F330" t="inlineStr">
        <is>
          <t>KRONOBERGS LÄN</t>
        </is>
      </c>
      <c r="G330" t="inlineStr">
        <is>
          <t>ALVESTA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46008</v>
      </c>
      <c r="E331" s="1" t="n">
        <v>46255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46255</v>
      </c>
      <c r="F332" t="inlineStr">
        <is>
          <t>KRONOBERGS LÄN</t>
        </is>
      </c>
      <c r="G332" t="inlineStr">
        <is>
          <t>ALVESTA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33352-2024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45519</v>
      </c>
      <c r="E333" s="1" t="n">
        <v>46255</v>
      </c>
      <c r="F333" t="inlineStr">
        <is>
          <t>KRONOBERGS LÄN</t>
        </is>
      </c>
      <c r="G333" t="inlineStr">
        <is>
          <t>ALVESTA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45341</v>
      </c>
      <c r="E334" s="1" t="n">
        <v>46255</v>
      </c>
      <c r="F334" t="inlineStr">
        <is>
          <t>KRONOBERGS LÄN</t>
        </is>
      </c>
      <c r="G334" t="inlineStr">
        <is>
          <t>ALVESTA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45949</v>
      </c>
      <c r="E335" s="1" t="n">
        <v>46255</v>
      </c>
      <c r="F335" t="inlineStr">
        <is>
          <t>KRONOBERGS LÄN</t>
        </is>
      </c>
      <c r="G335" t="inlineStr">
        <is>
          <t>ALVESTA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17501-2026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46255</v>
      </c>
      <c r="F336" t="inlineStr">
        <is>
          <t>KRONOBERGS LÄN</t>
        </is>
      </c>
      <c r="G336" t="inlineStr">
        <is>
          <t>ALVESTA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46255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17823-2026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46122</v>
      </c>
      <c r="E338" s="1" t="n">
        <v>46255</v>
      </c>
      <c r="F338" t="inlineStr">
        <is>
          <t>KRONOBERGS LÄN</t>
        </is>
      </c>
      <c r="G338" t="inlineStr">
        <is>
          <t>ALVESTA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17946-2026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46255</v>
      </c>
      <c r="F339" t="inlineStr">
        <is>
          <t>KRONOBERGS LÄN</t>
        </is>
      </c>
      <c r="G339" t="inlineStr">
        <is>
          <t>ALVESTA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62645-2022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44925</v>
      </c>
      <c r="E340" s="1" t="n">
        <v>46255</v>
      </c>
      <c r="F340" t="inlineStr">
        <is>
          <t>KRONOBERGS LÄN</t>
        </is>
      </c>
      <c r="G340" t="inlineStr">
        <is>
          <t>ALVESTA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6475-2022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44601</v>
      </c>
      <c r="E341" s="1" t="n">
        <v>46255</v>
      </c>
      <c r="F341" t="inlineStr">
        <is>
          <t>KRONOBERGS LÄN</t>
        </is>
      </c>
      <c r="G341" t="inlineStr">
        <is>
          <t>ALVESTA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45463</v>
      </c>
      <c r="E342" s="1" t="n">
        <v>46255</v>
      </c>
      <c r="F342" t="inlineStr">
        <is>
          <t>KRONOBERGS LÄN</t>
        </is>
      </c>
      <c r="G342" t="inlineStr">
        <is>
          <t>ALVESTA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37278-2024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45540</v>
      </c>
      <c r="E343" s="1" t="n">
        <v>46255</v>
      </c>
      <c r="F343" t="inlineStr">
        <is>
          <t>KRONOBERGS LÄN</t>
        </is>
      </c>
      <c r="G343" t="inlineStr">
        <is>
          <t>ALVESTA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17801-2026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46122</v>
      </c>
      <c r="E344" s="1" t="n">
        <v>46255</v>
      </c>
      <c r="F344" t="inlineStr">
        <is>
          <t>KRONOBERGS LÄN</t>
        </is>
      </c>
      <c r="G344" t="inlineStr">
        <is>
          <t>ALVESTA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46122</v>
      </c>
      <c r="E345" s="1" t="n">
        <v>46255</v>
      </c>
      <c r="F345" t="inlineStr">
        <is>
          <t>KRONOBERGS LÄN</t>
        </is>
      </c>
      <c r="G345" t="inlineStr">
        <is>
          <t>ALVESTA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46255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45482</v>
      </c>
      <c r="E347" s="1" t="n">
        <v>46255</v>
      </c>
      <c r="F347" t="inlineStr">
        <is>
          <t>KRONOBERGS LÄN</t>
        </is>
      </c>
      <c r="G347" t="inlineStr">
        <is>
          <t>ALVESTA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45000</v>
      </c>
      <c r="E348" s="1" t="n">
        <v>46255</v>
      </c>
      <c r="F348" t="inlineStr">
        <is>
          <t>KRONOBERGS LÄN</t>
        </is>
      </c>
      <c r="G348" t="inlineStr">
        <is>
          <t>ALVESTA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45563</v>
      </c>
      <c r="E349" s="1" t="n">
        <v>46255</v>
      </c>
      <c r="F349" t="inlineStr">
        <is>
          <t>KRONOBERGS LÄN</t>
        </is>
      </c>
      <c r="G349" t="inlineStr">
        <is>
          <t>ALVESTA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42397-2023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46255</v>
      </c>
      <c r="F350" t="inlineStr">
        <is>
          <t>KRONOBERGS LÄN</t>
        </is>
      </c>
      <c r="G350" t="inlineStr">
        <is>
          <t>ALVESTA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46255</v>
      </c>
      <c r="F351" t="inlineStr">
        <is>
          <t>KRONOBERGS LÄN</t>
        </is>
      </c>
      <c r="G351" t="inlineStr">
        <is>
          <t>ALVESTA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45359</v>
      </c>
      <c r="E352" s="1" t="n">
        <v>46255</v>
      </c>
      <c r="F352" t="inlineStr">
        <is>
          <t>KRONOBERGS LÄN</t>
        </is>
      </c>
      <c r="G352" t="inlineStr">
        <is>
          <t>ALVESTA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45771</v>
      </c>
      <c r="E353" s="1" t="n">
        <v>46255</v>
      </c>
      <c r="F353" t="inlineStr">
        <is>
          <t>KRONOBERGS LÄN</t>
        </is>
      </c>
      <c r="G353" t="inlineStr">
        <is>
          <t>ALVESTA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46255</v>
      </c>
      <c r="F354" t="inlineStr">
        <is>
          <t>KRONOBERGS LÄN</t>
        </is>
      </c>
      <c r="G354" t="inlineStr">
        <is>
          <t>ALVESTA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45632</v>
      </c>
      <c r="E355" s="1" t="n">
        <v>46255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17787-2024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45418</v>
      </c>
      <c r="E356" s="1" t="n">
        <v>46255</v>
      </c>
      <c r="F356" t="inlineStr">
        <is>
          <t>KRONOBERGS LÄN</t>
        </is>
      </c>
      <c r="G356" t="inlineStr">
        <is>
          <t>ALVESTA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17791-2024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45418</v>
      </c>
      <c r="E357" s="1" t="n">
        <v>46255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46129</v>
      </c>
      <c r="E358" s="1" t="n">
        <v>46255</v>
      </c>
      <c r="F358" t="inlineStr">
        <is>
          <t>KRONOBERGS LÄN</t>
        </is>
      </c>
      <c r="G358" t="inlineStr">
        <is>
          <t>ALVESTA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46129</v>
      </c>
      <c r="E359" s="1" t="n">
        <v>46255</v>
      </c>
      <c r="F359" t="inlineStr">
        <is>
          <t>KRONOBERGS LÄN</t>
        </is>
      </c>
      <c r="G359" t="inlineStr">
        <is>
          <t>ALVESTA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46255</v>
      </c>
      <c r="F360" t="inlineStr">
        <is>
          <t>KRONOBERGS LÄN</t>
        </is>
      </c>
      <c r="G360" t="inlineStr">
        <is>
          <t>ALVESTA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60157-2024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45642</v>
      </c>
      <c r="E361" s="1" t="n">
        <v>46255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46132</v>
      </c>
      <c r="E362" s="1" t="n">
        <v>46255</v>
      </c>
      <c r="F362" t="inlineStr">
        <is>
          <t>KRONOBERGS LÄN</t>
        </is>
      </c>
      <c r="G362" t="inlineStr">
        <is>
          <t>ALVESTA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46129</v>
      </c>
      <c r="E363" s="1" t="n">
        <v>46255</v>
      </c>
      <c r="F363" t="inlineStr">
        <is>
          <t>KRONOBERGS LÄN</t>
        </is>
      </c>
      <c r="G363" t="inlineStr">
        <is>
          <t>ALVESTA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46255</v>
      </c>
      <c r="F364" t="inlineStr">
        <is>
          <t>KRONOBERGS LÄN</t>
        </is>
      </c>
      <c r="G364" t="inlineStr">
        <is>
          <t>ALVESTA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38890-2023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46255</v>
      </c>
      <c r="F365" t="inlineStr">
        <is>
          <t>KRONOBERGS LÄN</t>
        </is>
      </c>
      <c r="G365" t="inlineStr">
        <is>
          <t>ALVESTA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45342</v>
      </c>
      <c r="E366" s="1" t="n">
        <v>46255</v>
      </c>
      <c r="F366" t="inlineStr">
        <is>
          <t>KRONOBERGS LÄN</t>
        </is>
      </c>
      <c r="G366" t="inlineStr">
        <is>
          <t>ALVESTA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33059-2024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45517</v>
      </c>
      <c r="E367" s="1" t="n">
        <v>46255</v>
      </c>
      <c r="F367" t="inlineStr">
        <is>
          <t>KRONOBERGS LÄN</t>
        </is>
      </c>
      <c r="G367" t="inlineStr">
        <is>
          <t>ALVESTA</t>
        </is>
      </c>
      <c r="H367" t="inlineStr">
        <is>
          <t>Kyrkan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46050</v>
      </c>
      <c r="E368" s="1" t="n">
        <v>46255</v>
      </c>
      <c r="F368" t="inlineStr">
        <is>
          <t>KRONOBERGS LÄN</t>
        </is>
      </c>
      <c r="G368" t="inlineStr">
        <is>
          <t>ALVESTA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45471</v>
      </c>
      <c r="E369" s="1" t="n">
        <v>46255</v>
      </c>
      <c r="F369" t="inlineStr">
        <is>
          <t>KRONOBERGS LÄN</t>
        </is>
      </c>
      <c r="G369" t="inlineStr">
        <is>
          <t>ALVESTA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47462-2024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45587</v>
      </c>
      <c r="E370" s="1" t="n">
        <v>46255</v>
      </c>
      <c r="F370" t="inlineStr">
        <is>
          <t>KRONOBERGS LÄN</t>
        </is>
      </c>
      <c r="G370" t="inlineStr">
        <is>
          <t>ALVESTA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45300</v>
      </c>
      <c r="E371" s="1" t="n">
        <v>46255</v>
      </c>
      <c r="F371" t="inlineStr">
        <is>
          <t>KRONOBERGS LÄN</t>
        </is>
      </c>
      <c r="G371" t="inlineStr">
        <is>
          <t>ALVESTA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46255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52110-2024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45608</v>
      </c>
      <c r="E373" s="1" t="n">
        <v>46255</v>
      </c>
      <c r="F373" t="inlineStr">
        <is>
          <t>KRONOBERGS LÄN</t>
        </is>
      </c>
      <c r="G373" t="inlineStr">
        <is>
          <t>ALVESTA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46051</v>
      </c>
      <c r="E374" s="1" t="n">
        <v>46255</v>
      </c>
      <c r="F374" t="inlineStr">
        <is>
          <t>KRONOBERGS LÄN</t>
        </is>
      </c>
      <c r="G374" t="inlineStr">
        <is>
          <t>ALVESTA</t>
        </is>
      </c>
      <c r="H374" t="inlineStr">
        <is>
          <t>Kyrkan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45699</v>
      </c>
      <c r="E375" s="1" t="n">
        <v>46255</v>
      </c>
      <c r="F375" t="inlineStr">
        <is>
          <t>KRONOBERGS LÄN</t>
        </is>
      </c>
      <c r="G375" t="inlineStr">
        <is>
          <t>ALVESTA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45613</v>
      </c>
      <c r="E376" s="1" t="n">
        <v>46255</v>
      </c>
      <c r="F376" t="inlineStr">
        <is>
          <t>KRONOBERGS LÄN</t>
        </is>
      </c>
      <c r="G376" t="inlineStr">
        <is>
          <t>ALVESTA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45328</v>
      </c>
      <c r="E377" s="1" t="n">
        <v>46255</v>
      </c>
      <c r="F377" t="inlineStr">
        <is>
          <t>KRONOBERGS LÄN</t>
        </is>
      </c>
      <c r="G377" t="inlineStr">
        <is>
          <t>ALVESTA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45874</v>
      </c>
      <c r="E378" s="1" t="n">
        <v>46255</v>
      </c>
      <c r="F378" t="inlineStr">
        <is>
          <t>KRONOBERGS LÄN</t>
        </is>
      </c>
      <c r="G378" t="inlineStr">
        <is>
          <t>ALVESTA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46255</v>
      </c>
      <c r="F379" t="inlineStr">
        <is>
          <t>KRONOBERGS LÄN</t>
        </is>
      </c>
      <c r="G379" t="inlineStr">
        <is>
          <t>ALVESTA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45856</v>
      </c>
      <c r="E380" s="1" t="n">
        <v>46255</v>
      </c>
      <c r="F380" t="inlineStr">
        <is>
          <t>KRONOBERGS LÄN</t>
        </is>
      </c>
      <c r="G380" t="inlineStr">
        <is>
          <t>ALVESTA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38639-2025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45884</v>
      </c>
      <c r="E381" s="1" t="n">
        <v>46255</v>
      </c>
      <c r="F381" t="inlineStr">
        <is>
          <t>KRONOBERGS LÄN</t>
        </is>
      </c>
      <c r="G381" t="inlineStr">
        <is>
          <t>ALVESTA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46255</v>
      </c>
      <c r="F382" t="inlineStr">
        <is>
          <t>KRONOBERGS LÄN</t>
        </is>
      </c>
      <c r="G382" t="inlineStr">
        <is>
          <t>ALVESTA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46255</v>
      </c>
      <c r="F383" t="inlineStr">
        <is>
          <t>KRONOBERGS LÄN</t>
        </is>
      </c>
      <c r="G383" t="inlineStr">
        <is>
          <t>ALVESTA</t>
        </is>
      </c>
      <c r="I383" t="n">
        <v>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46255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46255</v>
      </c>
      <c r="F385" t="inlineStr">
        <is>
          <t>KRONOBERGS LÄN</t>
        </is>
      </c>
      <c r="G385" t="inlineStr">
        <is>
          <t>ALVESTA</t>
        </is>
      </c>
      <c r="H385" t="inlineStr">
        <is>
          <t>Övriga Aktiebolag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45447</v>
      </c>
      <c r="E386" s="1" t="n">
        <v>46255</v>
      </c>
      <c r="F386" t="inlineStr">
        <is>
          <t>KRONOBERGS LÄN</t>
        </is>
      </c>
      <c r="G386" t="inlineStr">
        <is>
          <t>ALVESTA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46255</v>
      </c>
      <c r="F387" t="inlineStr">
        <is>
          <t>KRONOBERGS LÄN</t>
        </is>
      </c>
      <c r="G387" t="inlineStr">
        <is>
          <t>ALVESTA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46255</v>
      </c>
      <c r="F388" t="inlineStr">
        <is>
          <t>KRONOBERGS LÄN</t>
        </is>
      </c>
      <c r="G388" t="inlineStr">
        <is>
          <t>ALVESTA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45114</v>
      </c>
      <c r="E389" s="1" t="n">
        <v>46255</v>
      </c>
      <c r="F389" t="inlineStr">
        <is>
          <t>KRONOBERGS LÄN</t>
        </is>
      </c>
      <c r="G389" t="inlineStr">
        <is>
          <t>ALVESTA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760-2022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44569</v>
      </c>
      <c r="E390" s="1" t="n">
        <v>46255</v>
      </c>
      <c r="F390" t="inlineStr">
        <is>
          <t>KRONOBERGS LÄN</t>
        </is>
      </c>
      <c r="G390" t="inlineStr">
        <is>
          <t>ALVESTA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44606</v>
      </c>
      <c r="E391" s="1" t="n">
        <v>46255</v>
      </c>
      <c r="F391" t="inlineStr">
        <is>
          <t>KRONOBERGS LÄN</t>
        </is>
      </c>
      <c r="G391" t="inlineStr">
        <is>
          <t>ALVESTA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12818-2025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45733</v>
      </c>
      <c r="E392" s="1" t="n">
        <v>46255</v>
      </c>
      <c r="F392" t="inlineStr">
        <is>
          <t>KRONOBERGS LÄN</t>
        </is>
      </c>
      <c r="G392" t="inlineStr">
        <is>
          <t>ALVESTA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46022-2023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45189</v>
      </c>
      <c r="E393" s="1" t="n">
        <v>46255</v>
      </c>
      <c r="F393" t="inlineStr">
        <is>
          <t>KRONOBERGS LÄN</t>
        </is>
      </c>
      <c r="G393" t="inlineStr">
        <is>
          <t>ALVESTA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45818</v>
      </c>
      <c r="E394" s="1" t="n">
        <v>46255</v>
      </c>
      <c r="F394" t="inlineStr">
        <is>
          <t>KRONOBERGS LÄN</t>
        </is>
      </c>
      <c r="G394" t="inlineStr">
        <is>
          <t>ALVESTA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46255</v>
      </c>
      <c r="F395" t="inlineStr">
        <is>
          <t>KRONOBERGS LÄN</t>
        </is>
      </c>
      <c r="G395" t="inlineStr">
        <is>
          <t>ALVESTA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45666</v>
      </c>
      <c r="E396" s="1" t="n">
        <v>46255</v>
      </c>
      <c r="F396" t="inlineStr">
        <is>
          <t>KRONOBERGS LÄN</t>
        </is>
      </c>
      <c r="G396" t="inlineStr">
        <is>
          <t>ALVESTA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42976-2025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45909</v>
      </c>
      <c r="E397" s="1" t="n">
        <v>46255</v>
      </c>
      <c r="F397" t="inlineStr">
        <is>
          <t>KRONOBERGS LÄN</t>
        </is>
      </c>
      <c r="G397" t="inlineStr">
        <is>
          <t>ALVESTA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50976-2023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45218</v>
      </c>
      <c r="E398" s="1" t="n">
        <v>46255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50852-2025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46255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45471</v>
      </c>
      <c r="E400" s="1" t="n">
        <v>46255</v>
      </c>
      <c r="F400" t="inlineStr">
        <is>
          <t>KRONOBERGS LÄN</t>
        </is>
      </c>
      <c r="G400" t="inlineStr">
        <is>
          <t>ALVESTA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45471</v>
      </c>
      <c r="E401" s="1" t="n">
        <v>46255</v>
      </c>
      <c r="F401" t="inlineStr">
        <is>
          <t>KRONOBERGS LÄN</t>
        </is>
      </c>
      <c r="G401" t="inlineStr">
        <is>
          <t>ALVESTA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52040-2024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45608</v>
      </c>
      <c r="E402" s="1" t="n">
        <v>46255</v>
      </c>
      <c r="F402" t="inlineStr">
        <is>
          <t>KRONOBERGS LÄN</t>
        </is>
      </c>
      <c r="G402" t="inlineStr">
        <is>
          <t>ALVESTA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46255</v>
      </c>
      <c r="F403" t="inlineStr">
        <is>
          <t>KRONOBERGS LÄN</t>
        </is>
      </c>
      <c r="G403" t="inlineStr">
        <is>
          <t>ALVESTA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45338</v>
      </c>
      <c r="E404" s="1" t="n">
        <v>46255</v>
      </c>
      <c r="F404" t="inlineStr">
        <is>
          <t>KRONOBERGS LÄN</t>
        </is>
      </c>
      <c r="G404" t="inlineStr">
        <is>
          <t>ALVESTA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12952-2024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45385</v>
      </c>
      <c r="E405" s="1" t="n">
        <v>46255</v>
      </c>
      <c r="F405" t="inlineStr">
        <is>
          <t>KRONOBERGS LÄN</t>
        </is>
      </c>
      <c r="G405" t="inlineStr">
        <is>
          <t>ALVESTA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45345</v>
      </c>
      <c r="E406" s="1" t="n">
        <v>46255</v>
      </c>
      <c r="F406" t="inlineStr">
        <is>
          <t>KRONOBERGS LÄN</t>
        </is>
      </c>
      <c r="G406" t="inlineStr">
        <is>
          <t>ALVESTA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46255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44951</v>
      </c>
      <c r="E408" s="1" t="n">
        <v>46255</v>
      </c>
      <c r="F408" t="inlineStr">
        <is>
          <t>KRONOBERGS LÄN</t>
        </is>
      </c>
      <c r="G408" t="inlineStr">
        <is>
          <t>ALVESTA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67331-2021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44523</v>
      </c>
      <c r="E409" s="1" t="n">
        <v>46255</v>
      </c>
      <c r="F409" t="inlineStr">
        <is>
          <t>KRONOBERGS LÄN</t>
        </is>
      </c>
      <c r="G409" t="inlineStr">
        <is>
          <t>ALVESTA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44581</v>
      </c>
      <c r="E410" s="1" t="n">
        <v>46255</v>
      </c>
      <c r="F410" t="inlineStr">
        <is>
          <t>KRONOBERGS LÄN</t>
        </is>
      </c>
      <c r="G410" t="inlineStr">
        <is>
          <t>ALVESTA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52048-2024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46255</v>
      </c>
      <c r="F411" t="inlineStr">
        <is>
          <t>KRONOBERGS LÄN</t>
        </is>
      </c>
      <c r="G411" t="inlineStr">
        <is>
          <t>ALVESTA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46255</v>
      </c>
      <c r="F412" t="inlineStr">
        <is>
          <t>KRONOBERGS LÄN</t>
        </is>
      </c>
      <c r="G412" t="inlineStr">
        <is>
          <t>ALVESTA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46255</v>
      </c>
      <c r="F413" t="inlineStr">
        <is>
          <t>KRONOBERGS LÄN</t>
        </is>
      </c>
      <c r="G413" t="inlineStr">
        <is>
          <t>ALVESTA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10577-2024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45366</v>
      </c>
      <c r="E414" s="1" t="n">
        <v>46255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33110-2025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45840</v>
      </c>
      <c r="E415" s="1" t="n">
        <v>46255</v>
      </c>
      <c r="F415" t="inlineStr">
        <is>
          <t>KRONOBERGS LÄN</t>
        </is>
      </c>
      <c r="G415" t="inlineStr">
        <is>
          <t>ALVESTA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46255</v>
      </c>
      <c r="F416" t="inlineStr">
        <is>
          <t>KRONOBERGS LÄN</t>
        </is>
      </c>
      <c r="G416" t="inlineStr">
        <is>
          <t>ALVESTA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45680</v>
      </c>
      <c r="E417" s="1" t="n">
        <v>46255</v>
      </c>
      <c r="F417" t="inlineStr">
        <is>
          <t>KRONOBERGS LÄN</t>
        </is>
      </c>
      <c r="G417" t="inlineStr">
        <is>
          <t>ALVESTA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59225-2025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46255</v>
      </c>
      <c r="F418" t="inlineStr">
        <is>
          <t>KRONOBERGS LÄN</t>
        </is>
      </c>
      <c r="G418" t="inlineStr">
        <is>
          <t>ALVESTA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35601-2025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45858</v>
      </c>
      <c r="E419" s="1" t="n">
        <v>46255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12065-2025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46255</v>
      </c>
      <c r="F420" t="inlineStr">
        <is>
          <t>KRONOBERGS LÄN</t>
        </is>
      </c>
      <c r="G420" t="inlineStr">
        <is>
          <t>ALVESTA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45095</v>
      </c>
      <c r="E421" s="1" t="n">
        <v>46255</v>
      </c>
      <c r="F421" t="inlineStr">
        <is>
          <t>KRONOBERGS LÄN</t>
        </is>
      </c>
      <c r="G421" t="inlineStr">
        <is>
          <t>ALVESTA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16355-2024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45407</v>
      </c>
      <c r="E422" s="1" t="n">
        <v>46255</v>
      </c>
      <c r="F422" t="inlineStr">
        <is>
          <t>KRONOBERGS LÄN</t>
        </is>
      </c>
      <c r="G422" t="inlineStr">
        <is>
          <t>ALVESTA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15262-2024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45400</v>
      </c>
      <c r="E423" s="1" t="n">
        <v>46255</v>
      </c>
      <c r="F423" t="inlineStr">
        <is>
          <t>KRONOBERGS LÄN</t>
        </is>
      </c>
      <c r="G423" t="inlineStr">
        <is>
          <t>ALVESTA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45653</v>
      </c>
      <c r="E424" s="1" t="n">
        <v>46255</v>
      </c>
      <c r="F424" t="inlineStr">
        <is>
          <t>KRONOBERGS LÄN</t>
        </is>
      </c>
      <c r="G424" t="inlineStr">
        <is>
          <t>ALVESTA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31778-2025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46255</v>
      </c>
      <c r="F425" t="inlineStr">
        <is>
          <t>KRONOBERGS LÄN</t>
        </is>
      </c>
      <c r="G425" t="inlineStr">
        <is>
          <t>ALVESTA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45173</v>
      </c>
      <c r="E426" s="1" t="n">
        <v>46255</v>
      </c>
      <c r="F426" t="inlineStr">
        <is>
          <t>KRONOBERGS LÄN</t>
        </is>
      </c>
      <c r="G426" t="inlineStr">
        <is>
          <t>ALVESTA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46255</v>
      </c>
      <c r="F427" t="inlineStr">
        <is>
          <t>KRONOBERGS LÄN</t>
        </is>
      </c>
      <c r="G427" t="inlineStr">
        <is>
          <t>ALVESTA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45827</v>
      </c>
      <c r="E428" s="1" t="n">
        <v>46255</v>
      </c>
      <c r="F428" t="inlineStr">
        <is>
          <t>KRONOBERGS LÄN</t>
        </is>
      </c>
      <c r="G428" t="inlineStr">
        <is>
          <t>ALVESTA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14865-2024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45398</v>
      </c>
      <c r="E429" s="1" t="n">
        <v>46255</v>
      </c>
      <c r="F429" t="inlineStr">
        <is>
          <t>KRONOBERGS LÄN</t>
        </is>
      </c>
      <c r="G429" t="inlineStr">
        <is>
          <t>ALVESTA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27710-2022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44743</v>
      </c>
      <c r="E430" s="1" t="n">
        <v>46255</v>
      </c>
      <c r="F430" t="inlineStr">
        <is>
          <t>KRONOBERGS LÄN</t>
        </is>
      </c>
      <c r="G430" t="inlineStr">
        <is>
          <t>ALVESTA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27731-2022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44743</v>
      </c>
      <c r="E431" s="1" t="n">
        <v>46255</v>
      </c>
      <c r="F431" t="inlineStr">
        <is>
          <t>KRONOBERGS LÄN</t>
        </is>
      </c>
      <c r="G431" t="inlineStr">
        <is>
          <t>ALVESTA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36625-2023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45153</v>
      </c>
      <c r="E432" s="1" t="n">
        <v>46255</v>
      </c>
      <c r="F432" t="inlineStr">
        <is>
          <t>KRONOBERGS LÄN</t>
        </is>
      </c>
      <c r="G432" t="inlineStr">
        <is>
          <t>ALVESTA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45153</v>
      </c>
      <c r="E433" s="1" t="n">
        <v>46255</v>
      </c>
      <c r="F433" t="inlineStr">
        <is>
          <t>KRONOBERGS LÄN</t>
        </is>
      </c>
      <c r="G433" t="inlineStr">
        <is>
          <t>ALVESTA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20926-2026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46142</v>
      </c>
      <c r="E434" s="1" t="n">
        <v>46255</v>
      </c>
      <c r="F434" t="inlineStr">
        <is>
          <t>KRONOBERGS LÄN</t>
        </is>
      </c>
      <c r="G434" t="inlineStr">
        <is>
          <t>ALVESTA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46255</v>
      </c>
      <c r="F435" t="inlineStr">
        <is>
          <t>KRONOBERGS LÄN</t>
        </is>
      </c>
      <c r="G435" t="inlineStr">
        <is>
          <t>ALVESTA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65094-2023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45288</v>
      </c>
      <c r="E436" s="1" t="n">
        <v>46255</v>
      </c>
      <c r="F436" t="inlineStr">
        <is>
          <t>KRONOBERGS LÄN</t>
        </is>
      </c>
      <c r="G436" t="inlineStr">
        <is>
          <t>ALVESTA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45308</v>
      </c>
      <c r="E437" s="1" t="n">
        <v>46255</v>
      </c>
      <c r="F437" t="inlineStr">
        <is>
          <t>KRONOBERGS LÄN</t>
        </is>
      </c>
      <c r="G437" t="inlineStr">
        <is>
          <t>ALVESTA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36182-2023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45149</v>
      </c>
      <c r="E438" s="1" t="n">
        <v>46255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39258-2023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46255</v>
      </c>
      <c r="F439" t="inlineStr">
        <is>
          <t>KRONOBERGS LÄN</t>
        </is>
      </c>
      <c r="G439" t="inlineStr">
        <is>
          <t>ALVESTA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34126-2023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45135</v>
      </c>
      <c r="E440" s="1" t="n">
        <v>46255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46255</v>
      </c>
      <c r="F441" t="inlineStr">
        <is>
          <t>KRONOBERGS LÄN</t>
        </is>
      </c>
      <c r="G441" t="inlineStr">
        <is>
          <t>ALVESTA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11596-2026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46255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45336</v>
      </c>
      <c r="E443" s="1" t="n">
        <v>46255</v>
      </c>
      <c r="F443" t="inlineStr">
        <is>
          <t>KRONOBERGS LÄN</t>
        </is>
      </c>
      <c r="G443" t="inlineStr">
        <is>
          <t>ALVESTA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45349</v>
      </c>
      <c r="E444" s="1" t="n">
        <v>46255</v>
      </c>
      <c r="F444" t="inlineStr">
        <is>
          <t>KRONOBERGS LÄN</t>
        </is>
      </c>
      <c r="G444" t="inlineStr">
        <is>
          <t>ALVESTA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45362</v>
      </c>
      <c r="E445" s="1" t="n">
        <v>46255</v>
      </c>
      <c r="F445" t="inlineStr">
        <is>
          <t>KRONOBERGS LÄN</t>
        </is>
      </c>
      <c r="G445" t="inlineStr">
        <is>
          <t>ALVESTA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45330</v>
      </c>
      <c r="E446" s="1" t="n">
        <v>46255</v>
      </c>
      <c r="F446" t="inlineStr">
        <is>
          <t>KRONOBERGS LÄN</t>
        </is>
      </c>
      <c r="G446" t="inlineStr">
        <is>
          <t>ALVESTA</t>
        </is>
      </c>
      <c r="H446" t="inlineStr">
        <is>
          <t>Övriga Aktiebolag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16271-2022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44670</v>
      </c>
      <c r="E447" s="1" t="n">
        <v>46255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50697-2023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45217</v>
      </c>
      <c r="E448" s="1" t="n">
        <v>46255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25261-2024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45462</v>
      </c>
      <c r="E449" s="1" t="n">
        <v>46255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46255</v>
      </c>
      <c r="F450" t="inlineStr">
        <is>
          <t>KRONOBERGS LÄN</t>
        </is>
      </c>
      <c r="G450" t="inlineStr">
        <is>
          <t>ALVESTA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45264</v>
      </c>
      <c r="E451" s="1" t="n">
        <v>46255</v>
      </c>
      <c r="F451" t="inlineStr">
        <is>
          <t>KRONOBERGS LÄN</t>
        </is>
      </c>
      <c r="G451" t="inlineStr">
        <is>
          <t>ALVESTA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45854</v>
      </c>
      <c r="E452" s="1" t="n">
        <v>46255</v>
      </c>
      <c r="F452" t="inlineStr">
        <is>
          <t>KRONOBERGS LÄN</t>
        </is>
      </c>
      <c r="G452" t="inlineStr">
        <is>
          <t>ALVESTA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62969-2023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45272</v>
      </c>
      <c r="E453" s="1" t="n">
        <v>46255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45896</v>
      </c>
      <c r="E454" s="1" t="n">
        <v>46255</v>
      </c>
      <c r="F454" t="inlineStr">
        <is>
          <t>KRONOBERGS LÄN</t>
        </is>
      </c>
      <c r="G454" t="inlineStr">
        <is>
          <t>ALVESTA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39307-2023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46255</v>
      </c>
      <c r="F455" t="inlineStr">
        <is>
          <t>KRONOBERGS LÄN</t>
        </is>
      </c>
      <c r="G455" t="inlineStr">
        <is>
          <t>ALVESTA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14043-2025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45740</v>
      </c>
      <c r="E456" s="1" t="n">
        <v>46255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45136</v>
      </c>
      <c r="E457" s="1" t="n">
        <v>46255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45903</v>
      </c>
      <c r="E458" s="1" t="n">
        <v>46255</v>
      </c>
      <c r="F458" t="inlineStr">
        <is>
          <t>KRONOBERGS LÄN</t>
        </is>
      </c>
      <c r="G458" t="inlineStr">
        <is>
          <t>ALVESTA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45216</v>
      </c>
      <c r="E459" s="1" t="n">
        <v>46255</v>
      </c>
      <c r="F459" t="inlineStr">
        <is>
          <t>KRONOBERGS LÄN</t>
        </is>
      </c>
      <c r="G459" t="inlineStr">
        <is>
          <t>ALVESTA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57121-2022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44895</v>
      </c>
      <c r="E460" s="1" t="n">
        <v>46255</v>
      </c>
      <c r="F460" t="inlineStr">
        <is>
          <t>KRONOBERGS LÄN</t>
        </is>
      </c>
      <c r="G460" t="inlineStr">
        <is>
          <t>ALVESTA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45595</v>
      </c>
      <c r="E461" s="1" t="n">
        <v>46255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45338</v>
      </c>
      <c r="E462" s="1" t="n">
        <v>46255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44970</v>
      </c>
      <c r="E463" s="1" t="n">
        <v>46255</v>
      </c>
      <c r="F463" t="inlineStr">
        <is>
          <t>KRONOBERGS LÄN</t>
        </is>
      </c>
      <c r="G463" t="inlineStr">
        <is>
          <t>ALVESTA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46255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46255</v>
      </c>
      <c r="F465" t="inlineStr">
        <is>
          <t>KRONOBERGS LÄN</t>
        </is>
      </c>
      <c r="G465" t="inlineStr">
        <is>
          <t>ALVESTA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23494-2026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46163</v>
      </c>
      <c r="E466" s="1" t="n">
        <v>46255</v>
      </c>
      <c r="F466" t="inlineStr">
        <is>
          <t>KRONOBERGS LÄN</t>
        </is>
      </c>
      <c r="G466" t="inlineStr">
        <is>
          <t>ALVESTA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1093-2024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45302</v>
      </c>
      <c r="E467" s="1" t="n">
        <v>46255</v>
      </c>
      <c r="F467" t="inlineStr">
        <is>
          <t>KRONOBERGS LÄN</t>
        </is>
      </c>
      <c r="G467" t="inlineStr">
        <is>
          <t>ALVESTA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46255</v>
      </c>
      <c r="F468" t="inlineStr">
        <is>
          <t>KRONOBERGS LÄN</t>
        </is>
      </c>
      <c r="G468" t="inlineStr">
        <is>
          <t>ALVESTA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9987-2023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44985</v>
      </c>
      <c r="E469" s="1" t="n">
        <v>46255</v>
      </c>
      <c r="F469" t="inlineStr">
        <is>
          <t>KRONOBERGS LÄN</t>
        </is>
      </c>
      <c r="G469" t="inlineStr">
        <is>
          <t>ALVESTA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35729-2024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45532</v>
      </c>
      <c r="E470" s="1" t="n">
        <v>46255</v>
      </c>
      <c r="F470" t="inlineStr">
        <is>
          <t>KRONOBERGS LÄN</t>
        </is>
      </c>
      <c r="G470" t="inlineStr">
        <is>
          <t>ALVESTA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45324</v>
      </c>
      <c r="E471" s="1" t="n">
        <v>46255</v>
      </c>
      <c r="F471" t="inlineStr">
        <is>
          <t>KRONOBERGS LÄN</t>
        </is>
      </c>
      <c r="G471" t="inlineStr">
        <is>
          <t>ALVESTA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11912-2022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44635</v>
      </c>
      <c r="E472" s="1" t="n">
        <v>46255</v>
      </c>
      <c r="F472" t="inlineStr">
        <is>
          <t>KRONOBERGS LÄN</t>
        </is>
      </c>
      <c r="G472" t="inlineStr">
        <is>
          <t>ALVESTA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24420-2026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46169</v>
      </c>
      <c r="E473" s="1" t="n">
        <v>46255</v>
      </c>
      <c r="F473" t="inlineStr">
        <is>
          <t>KRONOBERGS LÄN</t>
        </is>
      </c>
      <c r="G473" t="inlineStr">
        <is>
          <t>ALVESTA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24419-2026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46169</v>
      </c>
      <c r="E474" s="1" t="n">
        <v>46255</v>
      </c>
      <c r="F474" t="inlineStr">
        <is>
          <t>KRONOBERGS LÄN</t>
        </is>
      </c>
      <c r="G474" t="inlineStr">
        <is>
          <t>ALVESTA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10858-2023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44991</v>
      </c>
      <c r="E475" s="1" t="n">
        <v>46255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44935</v>
      </c>
      <c r="E476" s="1" t="n">
        <v>46255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46255</v>
      </c>
      <c r="F477" t="inlineStr">
        <is>
          <t>KRONOBERGS LÄN</t>
        </is>
      </c>
      <c r="G477" t="inlineStr">
        <is>
          <t>ALVESTA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24692-2026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46171</v>
      </c>
      <c r="E478" s="1" t="n">
        <v>46255</v>
      </c>
      <c r="F478" t="inlineStr">
        <is>
          <t>KRONOBERGS LÄN</t>
        </is>
      </c>
      <c r="G478" t="inlineStr">
        <is>
          <t>ALVESTA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46255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46255</v>
      </c>
      <c r="F480" t="inlineStr">
        <is>
          <t>KRONOBERGS LÄN</t>
        </is>
      </c>
      <c r="G480" t="inlineStr">
        <is>
          <t>ALVESTA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38899-2024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45547</v>
      </c>
      <c r="E481" s="1" t="n">
        <v>46255</v>
      </c>
      <c r="F481" t="inlineStr">
        <is>
          <t>KRONOBERGS LÄN</t>
        </is>
      </c>
      <c r="G481" t="inlineStr">
        <is>
          <t>ALVESTA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6009-2024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45336</v>
      </c>
      <c r="E482" s="1" t="n">
        <v>46255</v>
      </c>
      <c r="F482" t="inlineStr">
        <is>
          <t>KRONOBERGS LÄN</t>
        </is>
      </c>
      <c r="G482" t="inlineStr">
        <is>
          <t>ALVESTA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20624-2024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45436</v>
      </c>
      <c r="E483" s="1" t="n">
        <v>46255</v>
      </c>
      <c r="F483" t="inlineStr">
        <is>
          <t>KRONOBERGS LÄN</t>
        </is>
      </c>
      <c r="G483" t="inlineStr">
        <is>
          <t>ALVESTA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46255</v>
      </c>
      <c r="F484" t="inlineStr">
        <is>
          <t>KRONOBERGS LÄN</t>
        </is>
      </c>
      <c r="G484" t="inlineStr">
        <is>
          <t>ALVESTA</t>
        </is>
      </c>
      <c r="H484" t="inlineStr">
        <is>
          <t>Kommuner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6479-2022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44601</v>
      </c>
      <c r="E485" s="1" t="n">
        <v>46255</v>
      </c>
      <c r="F485" t="inlineStr">
        <is>
          <t>KRONOBERGS LÄN</t>
        </is>
      </c>
      <c r="G485" t="inlineStr">
        <is>
          <t>ALVESTA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45426</v>
      </c>
      <c r="E486" s="1" t="n">
        <v>46255</v>
      </c>
      <c r="F486" t="inlineStr">
        <is>
          <t>KRONOBERGS LÄN</t>
        </is>
      </c>
      <c r="G486" t="inlineStr">
        <is>
          <t>ALVESTA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25609-2026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46255</v>
      </c>
      <c r="F487" t="inlineStr">
        <is>
          <t>KRONOBERGS LÄN</t>
        </is>
      </c>
      <c r="G487" t="inlineStr">
        <is>
          <t>ALVESTA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18001-2023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45040</v>
      </c>
      <c r="E488" s="1" t="n">
        <v>46255</v>
      </c>
      <c r="F488" t="inlineStr">
        <is>
          <t>KRONOBERGS LÄN</t>
        </is>
      </c>
      <c r="G488" t="inlineStr">
        <is>
          <t>ALVESTA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72318-2021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44545</v>
      </c>
      <c r="E489" s="1" t="n">
        <v>46255</v>
      </c>
      <c r="F489" t="inlineStr">
        <is>
          <t>KRONOBERGS LÄN</t>
        </is>
      </c>
      <c r="G489" t="inlineStr">
        <is>
          <t>ALVESTA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25567-2026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46255</v>
      </c>
      <c r="F490" t="inlineStr">
        <is>
          <t>KRONOBERGS LÄN</t>
        </is>
      </c>
      <c r="G490" t="inlineStr">
        <is>
          <t>ALVESTA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46255</v>
      </c>
      <c r="F491" t="inlineStr">
        <is>
          <t>KRONOBERGS LÄN</t>
        </is>
      </c>
      <c r="G491" t="inlineStr">
        <is>
          <t>ALVESTA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44948</v>
      </c>
      <c r="E492" s="1" t="n">
        <v>46255</v>
      </c>
      <c r="F492" t="inlineStr">
        <is>
          <t>KRONOBERGS LÄN</t>
        </is>
      </c>
      <c r="G492" t="inlineStr">
        <is>
          <t>ALVESTA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25572-2026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46255</v>
      </c>
      <c r="F493" t="inlineStr">
        <is>
          <t>KRONOBERGS LÄN</t>
        </is>
      </c>
      <c r="G493" t="inlineStr">
        <is>
          <t>ALVESTA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58268-2022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44901</v>
      </c>
      <c r="E494" s="1" t="n">
        <v>46255</v>
      </c>
      <c r="F494" t="inlineStr">
        <is>
          <t>KRONOBERGS LÄN</t>
        </is>
      </c>
      <c r="G494" t="inlineStr">
        <is>
          <t>ALVESTA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14969-2022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44657</v>
      </c>
      <c r="E495" s="1" t="n">
        <v>46255</v>
      </c>
      <c r="F495" t="inlineStr">
        <is>
          <t>KRONOBERGS LÄN</t>
        </is>
      </c>
      <c r="G495" t="inlineStr">
        <is>
          <t>ALVESTA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46255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8803-2024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45356</v>
      </c>
      <c r="E497" s="1" t="n">
        <v>46255</v>
      </c>
      <c r="F497" t="inlineStr">
        <is>
          <t>KRONOBERGS LÄN</t>
        </is>
      </c>
      <c r="G497" t="inlineStr">
        <is>
          <t>ALVESTA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25297-2023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45086</v>
      </c>
      <c r="E498" s="1" t="n">
        <v>46255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20616-2024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45436</v>
      </c>
      <c r="E499" s="1" t="n">
        <v>46255</v>
      </c>
      <c r="F499" t="inlineStr">
        <is>
          <t>KRONOBERGS LÄN</t>
        </is>
      </c>
      <c r="G499" t="inlineStr">
        <is>
          <t>ALVESTA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44943</v>
      </c>
      <c r="E500" s="1" t="n">
        <v>46255</v>
      </c>
      <c r="F500" t="inlineStr">
        <is>
          <t>KRONOBERGS LÄN</t>
        </is>
      </c>
      <c r="G500" t="inlineStr">
        <is>
          <t>ALVESTA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57118-2023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45245</v>
      </c>
      <c r="E501" s="1" t="n">
        <v>46255</v>
      </c>
      <c r="F501" t="inlineStr">
        <is>
          <t>KRONOBERGS LÄN</t>
        </is>
      </c>
      <c r="G501" t="inlineStr">
        <is>
          <t>ALVESTA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44935</v>
      </c>
      <c r="E502" s="1" t="n">
        <v>46255</v>
      </c>
      <c r="F502" t="inlineStr">
        <is>
          <t>KRONOBERGS LÄN</t>
        </is>
      </c>
      <c r="G502" t="inlineStr">
        <is>
          <t>ALVESTA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56552-2021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44480</v>
      </c>
      <c r="E503" s="1" t="n">
        <v>46255</v>
      </c>
      <c r="F503" t="inlineStr">
        <is>
          <t>KRONOBERGS LÄN</t>
        </is>
      </c>
      <c r="G503" t="inlineStr">
        <is>
          <t>ALVESTA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37113-2023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45155</v>
      </c>
      <c r="E504" s="1" t="n">
        <v>46255</v>
      </c>
      <c r="F504" t="inlineStr">
        <is>
          <t>KRONOBERGS LÄN</t>
        </is>
      </c>
      <c r="G504" t="inlineStr">
        <is>
          <t>ALVESTA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60760-2022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44914</v>
      </c>
      <c r="E505" s="1" t="n">
        <v>46255</v>
      </c>
      <c r="F505" t="inlineStr">
        <is>
          <t>KRONOBERGS LÄN</t>
        </is>
      </c>
      <c r="G505" t="inlineStr">
        <is>
          <t>ALVESTA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3118-2025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45678</v>
      </c>
      <c r="E506" s="1" t="n">
        <v>46255</v>
      </c>
      <c r="F506" t="inlineStr">
        <is>
          <t>KRONOBERGS LÄN</t>
        </is>
      </c>
      <c r="G506" t="inlineStr">
        <is>
          <t>ALVESTA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49602-2024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45596</v>
      </c>
      <c r="E507" s="1" t="n">
        <v>46255</v>
      </c>
      <c r="F507" t="inlineStr">
        <is>
          <t>KRONOBERGS LÄN</t>
        </is>
      </c>
      <c r="G507" t="inlineStr">
        <is>
          <t>ALVESTA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13369-2023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45005</v>
      </c>
      <c r="E508" s="1" t="n">
        <v>46255</v>
      </c>
      <c r="F508" t="inlineStr">
        <is>
          <t>KRONOBERGS LÄN</t>
        </is>
      </c>
      <c r="G508" t="inlineStr">
        <is>
          <t>ALVESTA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46234-2023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45196</v>
      </c>
      <c r="E509" s="1" t="n">
        <v>46255</v>
      </c>
      <c r="F509" t="inlineStr">
        <is>
          <t>KRONOBERGS LÄN</t>
        </is>
      </c>
      <c r="G509" t="inlineStr">
        <is>
          <t>ALVESTA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18646-2022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44687</v>
      </c>
      <c r="E510" s="1" t="n">
        <v>46255</v>
      </c>
      <c r="F510" t="inlineStr">
        <is>
          <t>KRONOBERGS LÄN</t>
        </is>
      </c>
      <c r="G510" t="inlineStr">
        <is>
          <t>ALVESTA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27032-2026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46185</v>
      </c>
      <c r="E511" s="1" t="n">
        <v>46255</v>
      </c>
      <c r="F511" t="inlineStr">
        <is>
          <t>KRONOBERGS LÄN</t>
        </is>
      </c>
      <c r="G511" t="inlineStr">
        <is>
          <t>ALVESTA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27077-2026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46186</v>
      </c>
      <c r="E512" s="1" t="n">
        <v>46255</v>
      </c>
      <c r="F512" t="inlineStr">
        <is>
          <t>KRONOBERGS LÄN</t>
        </is>
      </c>
      <c r="G512" t="inlineStr">
        <is>
          <t>ALVESTA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45146</v>
      </c>
      <c r="E513" s="1" t="n">
        <v>46255</v>
      </c>
      <c r="F513" t="inlineStr">
        <is>
          <t>KRONOBERGS LÄN</t>
        </is>
      </c>
      <c r="G513" t="inlineStr">
        <is>
          <t>ALVESTA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44978</v>
      </c>
      <c r="E514" s="1" t="n">
        <v>46255</v>
      </c>
      <c r="F514" t="inlineStr">
        <is>
          <t>KRONOBERGS LÄN</t>
        </is>
      </c>
      <c r="G514" t="inlineStr">
        <is>
          <t>ALVESTA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65092-2023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45288</v>
      </c>
      <c r="E515" s="1" t="n">
        <v>46255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28529-2024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45478</v>
      </c>
      <c r="E516" s="1" t="n">
        <v>46255</v>
      </c>
      <c r="F516" t="inlineStr">
        <is>
          <t>KRONOBERGS LÄN</t>
        </is>
      </c>
      <c r="G516" t="inlineStr">
        <is>
          <t>ALVESTA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45418</v>
      </c>
      <c r="E517" s="1" t="n">
        <v>46255</v>
      </c>
      <c r="F517" t="inlineStr">
        <is>
          <t>KRONOBERGS LÄN</t>
        </is>
      </c>
      <c r="G517" t="inlineStr">
        <is>
          <t>ALVESTA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46255</v>
      </c>
      <c r="F518" t="inlineStr">
        <is>
          <t>KRONOBERGS LÄN</t>
        </is>
      </c>
      <c r="G518" t="inlineStr">
        <is>
          <t>ALVESTA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16301-2024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45407</v>
      </c>
      <c r="E519" s="1" t="n">
        <v>46255</v>
      </c>
      <c r="F519" t="inlineStr">
        <is>
          <t>KRONOBERGS LÄN</t>
        </is>
      </c>
      <c r="G519" t="inlineStr">
        <is>
          <t>ALVESTA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46255</v>
      </c>
      <c r="F520" t="inlineStr">
        <is>
          <t>KRONOBERGS LÄN</t>
        </is>
      </c>
      <c r="G520" t="inlineStr">
        <is>
          <t>ALVESTA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45673</v>
      </c>
      <c r="E521" s="1" t="n">
        <v>46255</v>
      </c>
      <c r="F521" t="inlineStr">
        <is>
          <t>KRONOBERGS LÄN</t>
        </is>
      </c>
      <c r="G521" t="inlineStr">
        <is>
          <t>ALVESTA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45706</v>
      </c>
      <c r="E522" s="1" t="n">
        <v>46255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29579-2022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44754</v>
      </c>
      <c r="E523" s="1" t="n">
        <v>46255</v>
      </c>
      <c r="F523" t="inlineStr">
        <is>
          <t>KRONOBERGS LÄN</t>
        </is>
      </c>
      <c r="G523" t="inlineStr">
        <is>
          <t>ALVESTA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49078-2023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46255</v>
      </c>
      <c r="F524" t="inlineStr">
        <is>
          <t>KRONOBERGS LÄN</t>
        </is>
      </c>
      <c r="G524" t="inlineStr">
        <is>
          <t>ALVESTA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34272-2023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45128</v>
      </c>
      <c r="E525" s="1" t="n">
        <v>46255</v>
      </c>
      <c r="F525" t="inlineStr">
        <is>
          <t>KRONOBERGS LÄN</t>
        </is>
      </c>
      <c r="G525" t="inlineStr">
        <is>
          <t>ALVESTA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5298-2025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45692</v>
      </c>
      <c r="E526" s="1" t="n">
        <v>46255</v>
      </c>
      <c r="F526" t="inlineStr">
        <is>
          <t>KRONOBERGS LÄN</t>
        </is>
      </c>
      <c r="G526" t="inlineStr">
        <is>
          <t>ALVESTA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45159</v>
      </c>
      <c r="E527" s="1" t="n">
        <v>46255</v>
      </c>
      <c r="F527" t="inlineStr">
        <is>
          <t>KRONOBERGS LÄN</t>
        </is>
      </c>
      <c r="G527" t="inlineStr">
        <is>
          <t>ALVESTA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32326-2026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46238</v>
      </c>
      <c r="E528" s="1" t="n">
        <v>46255</v>
      </c>
      <c r="F528" t="inlineStr">
        <is>
          <t>KRONOBERGS LÄN</t>
        </is>
      </c>
      <c r="G528" t="inlineStr">
        <is>
          <t>ALVESTA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46255</v>
      </c>
      <c r="F529" t="inlineStr">
        <is>
          <t>KRONOBERGS LÄN</t>
        </is>
      </c>
      <c r="G529" t="inlineStr">
        <is>
          <t>ALVESTA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40366-2023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46255</v>
      </c>
      <c r="F530" t="inlineStr">
        <is>
          <t>KRONOBERGS LÄN</t>
        </is>
      </c>
      <c r="G530" t="inlineStr">
        <is>
          <t>ALVESTA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12298-2023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44998</v>
      </c>
      <c r="E531" s="1" t="n">
        <v>46255</v>
      </c>
      <c r="F531" t="inlineStr">
        <is>
          <t>KRONOBERGS LÄN</t>
        </is>
      </c>
      <c r="G531" t="inlineStr">
        <is>
          <t>ALVESTA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45089</v>
      </c>
      <c r="E532" s="1" t="n">
        <v>46255</v>
      </c>
      <c r="F532" t="inlineStr">
        <is>
          <t>KRONOBERGS LÄN</t>
        </is>
      </c>
      <c r="G532" t="inlineStr">
        <is>
          <t>ALVESTA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46255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8293-2025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45708</v>
      </c>
      <c r="E534" s="1" t="n">
        <v>46255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28237-2026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46255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46241</v>
      </c>
      <c r="E536" s="1" t="n">
        <v>46255</v>
      </c>
      <c r="F536" t="inlineStr">
        <is>
          <t>KRONOBERGS LÄN</t>
        </is>
      </c>
      <c r="G536" t="inlineStr">
        <is>
          <t>ALVESTA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46255</v>
      </c>
      <c r="F537" t="inlineStr">
        <is>
          <t>KRONOBERGS LÄN</t>
        </is>
      </c>
      <c r="G537" t="inlineStr">
        <is>
          <t>ALVESTA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46255</v>
      </c>
      <c r="F538" t="inlineStr">
        <is>
          <t>KRONOBERGS LÄN</t>
        </is>
      </c>
      <c r="G538" t="inlineStr">
        <is>
          <t>ALVESTA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59621-2023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46255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45336</v>
      </c>
      <c r="E540" s="1" t="n">
        <v>46255</v>
      </c>
      <c r="F540" t="inlineStr">
        <is>
          <t>KRONOBERGS LÄN</t>
        </is>
      </c>
      <c r="G540" t="inlineStr">
        <is>
          <t>ALVESTA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4722-2024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45328</v>
      </c>
      <c r="E541" s="1" t="n">
        <v>46255</v>
      </c>
      <c r="F541" t="inlineStr">
        <is>
          <t>KRONOBERGS LÄN</t>
        </is>
      </c>
      <c r="G541" t="inlineStr">
        <is>
          <t>ALVESTA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20180-2023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45055</v>
      </c>
      <c r="E542" s="1" t="n">
        <v>46255</v>
      </c>
      <c r="F542" t="inlineStr">
        <is>
          <t>KRONOBERGS LÄN</t>
        </is>
      </c>
      <c r="G542" t="inlineStr">
        <is>
          <t>ALVESTA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45105</v>
      </c>
      <c r="E543" s="1" t="n">
        <v>46255</v>
      </c>
      <c r="F543" t="inlineStr">
        <is>
          <t>KRONOBERGS LÄN</t>
        </is>
      </c>
      <c r="G543" t="inlineStr">
        <is>
          <t>ALVESTA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32787-2026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46241</v>
      </c>
      <c r="E544" s="1" t="n">
        <v>46255</v>
      </c>
      <c r="F544" t="inlineStr">
        <is>
          <t>KRONOBERGS LÄN</t>
        </is>
      </c>
      <c r="G544" t="inlineStr">
        <is>
          <t>ALVESTA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46241</v>
      </c>
      <c r="E545" s="1" t="n">
        <v>46255</v>
      </c>
      <c r="F545" t="inlineStr">
        <is>
          <t>KRONOBERGS LÄN</t>
        </is>
      </c>
      <c r="G545" t="inlineStr">
        <is>
          <t>ALVESTA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46241</v>
      </c>
      <c r="E546" s="1" t="n">
        <v>46255</v>
      </c>
      <c r="F546" t="inlineStr">
        <is>
          <t>KRONOBERGS LÄN</t>
        </is>
      </c>
      <c r="G546" t="inlineStr">
        <is>
          <t>ALVESTA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45635</v>
      </c>
      <c r="E547" s="1" t="n">
        <v>46255</v>
      </c>
      <c r="F547" t="inlineStr">
        <is>
          <t>KRONOBERGS LÄN</t>
        </is>
      </c>
      <c r="G547" t="inlineStr">
        <is>
          <t>ALVESTA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46241</v>
      </c>
      <c r="E548" s="1" t="n">
        <v>46255</v>
      </c>
      <c r="F548" t="inlineStr">
        <is>
          <t>KRONOBERGS LÄN</t>
        </is>
      </c>
      <c r="G548" t="inlineStr">
        <is>
          <t>ALVESTA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46255</v>
      </c>
      <c r="F549" t="inlineStr">
        <is>
          <t>KRONOBERGS LÄN</t>
        </is>
      </c>
      <c r="G549" t="inlineStr">
        <is>
          <t>ALVESTA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45032</v>
      </c>
      <c r="E550" s="1" t="n">
        <v>46255</v>
      </c>
      <c r="F550" t="inlineStr">
        <is>
          <t>KRONOBERGS LÄN</t>
        </is>
      </c>
      <c r="G550" t="inlineStr">
        <is>
          <t>ALVESTA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29349-2026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46203</v>
      </c>
      <c r="E551" s="1" t="n">
        <v>46255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49600-2024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46255</v>
      </c>
      <c r="F552" t="inlineStr">
        <is>
          <t>KRONOBERGS LÄN</t>
        </is>
      </c>
      <c r="G552" t="inlineStr">
        <is>
          <t>ALVESTA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45106</v>
      </c>
      <c r="E553" s="1" t="n">
        <v>46255</v>
      </c>
      <c r="F553" t="inlineStr">
        <is>
          <t>KRONOBERGS LÄN</t>
        </is>
      </c>
      <c r="G553" t="inlineStr">
        <is>
          <t>ALVESTA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33290-2026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46255</v>
      </c>
      <c r="F554" t="inlineStr">
        <is>
          <t>KRONOBERGS LÄN</t>
        </is>
      </c>
      <c r="G554" t="inlineStr">
        <is>
          <t>ALVESTA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9822-2022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44620</v>
      </c>
      <c r="E555" s="1" t="n">
        <v>46255</v>
      </c>
      <c r="F555" t="inlineStr">
        <is>
          <t>KRONOBERGS LÄN</t>
        </is>
      </c>
      <c r="G555" t="inlineStr">
        <is>
          <t>ALVESTA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46255</v>
      </c>
      <c r="F556" t="inlineStr">
        <is>
          <t>KRONOBERGS LÄN</t>
        </is>
      </c>
      <c r="G556" t="inlineStr">
        <is>
          <t>ALVESTA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45362</v>
      </c>
      <c r="E557" s="1" t="n">
        <v>46255</v>
      </c>
      <c r="F557" t="inlineStr">
        <is>
          <t>KRONOBERGS LÄN</t>
        </is>
      </c>
      <c r="G557" t="inlineStr">
        <is>
          <t>ALVESTA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60559-2022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44911</v>
      </c>
      <c r="E558" s="1" t="n">
        <v>46255</v>
      </c>
      <c r="F558" t="inlineStr">
        <is>
          <t>KRONOBERGS LÄN</t>
        </is>
      </c>
      <c r="G558" t="inlineStr">
        <is>
          <t>ALVESTA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1927-2024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45308</v>
      </c>
      <c r="E559" s="1" t="n">
        <v>46255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45544</v>
      </c>
      <c r="E560" s="1" t="n">
        <v>46255</v>
      </c>
      <c r="F560" t="inlineStr">
        <is>
          <t>KRONOBERGS LÄN</t>
        </is>
      </c>
      <c r="G560" t="inlineStr">
        <is>
          <t>ALVESTA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44978</v>
      </c>
      <c r="E561" s="1" t="n">
        <v>46255</v>
      </c>
      <c r="F561" t="inlineStr">
        <is>
          <t>KRONOBERGS LÄN</t>
        </is>
      </c>
      <c r="G561" t="inlineStr">
        <is>
          <t>ALVESTA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44994</v>
      </c>
      <c r="E562" s="1" t="n">
        <v>46255</v>
      </c>
      <c r="F562" t="inlineStr">
        <is>
          <t>KRONOBERGS LÄN</t>
        </is>
      </c>
      <c r="G562" t="inlineStr">
        <is>
          <t>ALVESTA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62235-2023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45267</v>
      </c>
      <c r="E563" s="1" t="n">
        <v>46255</v>
      </c>
      <c r="F563" t="inlineStr">
        <is>
          <t>KRONOBERGS LÄN</t>
        </is>
      </c>
      <c r="G563" t="inlineStr">
        <is>
          <t>ALVESTA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29774-2026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46255</v>
      </c>
      <c r="F564" t="inlineStr">
        <is>
          <t>KRONOBERGS LÄN</t>
        </is>
      </c>
      <c r="G564" t="inlineStr">
        <is>
          <t>ALVESTA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35224-2024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45530</v>
      </c>
      <c r="E565" s="1" t="n">
        <v>46255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29763-2026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46255</v>
      </c>
      <c r="F566" t="inlineStr">
        <is>
          <t>KRONOBERGS LÄN</t>
        </is>
      </c>
      <c r="G566" t="inlineStr">
        <is>
          <t>ALVESTA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46255</v>
      </c>
      <c r="F567" t="inlineStr">
        <is>
          <t>KRONOBERGS LÄN</t>
        </is>
      </c>
      <c r="G567" t="inlineStr">
        <is>
          <t>ALVESTA</t>
        </is>
      </c>
      <c r="I567" t="n">
        <v>10.4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44998</v>
      </c>
      <c r="E568" s="1" t="n">
        <v>46255</v>
      </c>
      <c r="F568" t="inlineStr">
        <is>
          <t>KRONOBERGS LÄN</t>
        </is>
      </c>
      <c r="G568" t="inlineStr">
        <is>
          <t>ALVESTA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61282-2023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46255</v>
      </c>
      <c r="F569" t="inlineStr">
        <is>
          <t>KRONOBERGS LÄN</t>
        </is>
      </c>
      <c r="G569" t="inlineStr">
        <is>
          <t>ALVESTA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30384-2026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46209</v>
      </c>
      <c r="E570" s="1" t="n">
        <v>46255</v>
      </c>
      <c r="F570" t="inlineStr">
        <is>
          <t>KRONOBERGS LÄN</t>
        </is>
      </c>
      <c r="G570" t="inlineStr">
        <is>
          <t>ALVESTA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45358</v>
      </c>
      <c r="E571" s="1" t="n">
        <v>46255</v>
      </c>
      <c r="F571" t="inlineStr">
        <is>
          <t>KRONOBERGS LÄN</t>
        </is>
      </c>
      <c r="G571" t="inlineStr">
        <is>
          <t>ALVESTA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44958</v>
      </c>
      <c r="E572" s="1" t="n">
        <v>46255</v>
      </c>
      <c r="F572" t="inlineStr">
        <is>
          <t>KRONOBERGS LÄN</t>
        </is>
      </c>
      <c r="G572" t="inlineStr">
        <is>
          <t>ALVESTA</t>
        </is>
      </c>
      <c r="H572" t="inlineStr">
        <is>
          <t>Kommuner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46255</v>
      </c>
      <c r="F573" t="inlineStr">
        <is>
          <t>KRONOBERGS LÄN</t>
        </is>
      </c>
      <c r="G573" t="inlineStr">
        <is>
          <t>ALVESTA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33946-2026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46252</v>
      </c>
      <c r="E574" s="1" t="n">
        <v>46255</v>
      </c>
      <c r="F574" t="inlineStr">
        <is>
          <t>KRONOBERGS LÄN</t>
        </is>
      </c>
      <c r="G574" t="inlineStr">
        <is>
          <t>ALVESTA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45043</v>
      </c>
      <c r="E575" s="1" t="n">
        <v>46255</v>
      </c>
      <c r="F575" t="inlineStr">
        <is>
          <t>KRONOBERGS LÄN</t>
        </is>
      </c>
      <c r="G575" t="inlineStr">
        <is>
          <t>ALVESTA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38385-2022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44812</v>
      </c>
      <c r="E576" s="1" t="n">
        <v>46255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17782-2024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45418</v>
      </c>
      <c r="E577" s="1" t="n">
        <v>46255</v>
      </c>
      <c r="F577" t="inlineStr">
        <is>
          <t>KRONOBERGS LÄN</t>
        </is>
      </c>
      <c r="G577" t="inlineStr">
        <is>
          <t>ALVESTA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39501-2024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45551</v>
      </c>
      <c r="E578" s="1" t="n">
        <v>46255</v>
      </c>
      <c r="F578" t="inlineStr">
        <is>
          <t>KRONOBERGS LÄN</t>
        </is>
      </c>
      <c r="G578" t="inlineStr">
        <is>
          <t>ALVESTA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31121-2023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45113</v>
      </c>
      <c r="E579" s="1" t="n">
        <v>46255</v>
      </c>
      <c r="F579" t="inlineStr">
        <is>
          <t>KRONOBERGS LÄN</t>
        </is>
      </c>
      <c r="G579" t="inlineStr">
        <is>
          <t>ALVESTA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12917-2024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45385</v>
      </c>
      <c r="E580" s="1" t="n">
        <v>46255</v>
      </c>
      <c r="F580" t="inlineStr">
        <is>
          <t>KRONOBERGS LÄN</t>
        </is>
      </c>
      <c r="G580" t="inlineStr">
        <is>
          <t>ALVESTA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54116-2024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45616</v>
      </c>
      <c r="E581" s="1" t="n">
        <v>46255</v>
      </c>
      <c r="F581" t="inlineStr">
        <is>
          <t>KRONOBERGS LÄN</t>
        </is>
      </c>
      <c r="G581" t="inlineStr">
        <is>
          <t>ALVESTA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6722-2025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45700</v>
      </c>
      <c r="E582" s="1" t="n">
        <v>46255</v>
      </c>
      <c r="F582" t="inlineStr">
        <is>
          <t>KRONOBERGS LÄN</t>
        </is>
      </c>
      <c r="G582" t="inlineStr">
        <is>
          <t>ALVESTA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46255</v>
      </c>
      <c r="F583" t="inlineStr">
        <is>
          <t>KRONOBERGS LÄN</t>
        </is>
      </c>
      <c r="G583" t="inlineStr">
        <is>
          <t>ALVESTA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16376-2024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45407</v>
      </c>
      <c r="E584" s="1" t="n">
        <v>46255</v>
      </c>
      <c r="F584" t="inlineStr">
        <is>
          <t>KRONOBERGS LÄN</t>
        </is>
      </c>
      <c r="G584" t="inlineStr">
        <is>
          <t>ALVESTA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17790-2024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45418</v>
      </c>
      <c r="E585" s="1" t="n">
        <v>46255</v>
      </c>
      <c r="F585" t="inlineStr">
        <is>
          <t>KRONOBERGS LÄN</t>
        </is>
      </c>
      <c r="G585" t="inlineStr">
        <is>
          <t>ALVESTA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21296-2024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45440</v>
      </c>
      <c r="E586" s="1" t="n">
        <v>46255</v>
      </c>
      <c r="F586" t="inlineStr">
        <is>
          <t>KRONOBERGS LÄN</t>
        </is>
      </c>
      <c r="G586" t="inlineStr">
        <is>
          <t>ALVESTA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23006-2025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45790</v>
      </c>
      <c r="E587" s="1" t="n">
        <v>46255</v>
      </c>
      <c r="F587" t="inlineStr">
        <is>
          <t>KRONOBERGS LÄN</t>
        </is>
      </c>
      <c r="G587" t="inlineStr">
        <is>
          <t>ALVESTA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24090-2024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45456</v>
      </c>
      <c r="E588" s="1" t="n">
        <v>46255</v>
      </c>
      <c r="F588" t="inlineStr">
        <is>
          <t>KRONOBERGS LÄN</t>
        </is>
      </c>
      <c r="G588" t="inlineStr">
        <is>
          <t>ALVESTA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7464-2025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45705</v>
      </c>
      <c r="E589" s="1" t="n">
        <v>46255</v>
      </c>
      <c r="F589" t="inlineStr">
        <is>
          <t>KRONOBERGS LÄN</t>
        </is>
      </c>
      <c r="G589" t="inlineStr">
        <is>
          <t>ALVESTA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9933-2024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45363</v>
      </c>
      <c r="E590" s="1" t="n">
        <v>46255</v>
      </c>
      <c r="F590" t="inlineStr">
        <is>
          <t>KRONOBERGS LÄN</t>
        </is>
      </c>
      <c r="G590" t="inlineStr">
        <is>
          <t>ALVESTA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37940-2024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45544</v>
      </c>
      <c r="E591" s="1" t="n">
        <v>46255</v>
      </c>
      <c r="F591" t="inlineStr">
        <is>
          <t>KRONOBERGS LÄN</t>
        </is>
      </c>
      <c r="G591" t="inlineStr">
        <is>
          <t>ALVESTA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25220-2025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45798</v>
      </c>
      <c r="E592" s="1" t="n">
        <v>46255</v>
      </c>
      <c r="F592" t="inlineStr">
        <is>
          <t>KRONOBERGS LÄN</t>
        </is>
      </c>
      <c r="G592" t="inlineStr">
        <is>
          <t>ALVESTA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45015</v>
      </c>
      <c r="E593" s="1" t="n">
        <v>46255</v>
      </c>
      <c r="F593" t="inlineStr">
        <is>
          <t>KRONOBERGS LÄN</t>
        </is>
      </c>
      <c r="G593" t="inlineStr">
        <is>
          <t>ALVESTA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17737-2024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45418</v>
      </c>
      <c r="E594" s="1" t="n">
        <v>46255</v>
      </c>
      <c r="F594" t="inlineStr">
        <is>
          <t>KRONOBERGS LÄN</t>
        </is>
      </c>
      <c r="G594" t="inlineStr">
        <is>
          <t>ALVESTA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45391</v>
      </c>
      <c r="E595" s="1" t="n">
        <v>46255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59052-2021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44490</v>
      </c>
      <c r="E596" s="1" t="n">
        <v>46255</v>
      </c>
      <c r="F596" t="inlineStr">
        <is>
          <t>KRONOBERGS LÄN</t>
        </is>
      </c>
      <c r="G596" t="inlineStr">
        <is>
          <t>ALVESTA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33222-2024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45518</v>
      </c>
      <c r="E597" s="1" t="n">
        <v>46255</v>
      </c>
      <c r="F597" t="inlineStr">
        <is>
          <t>KRONOBERGS LÄN</t>
        </is>
      </c>
      <c r="G597" t="inlineStr">
        <is>
          <t>ALVESTA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44957</v>
      </c>
      <c r="E598" s="1" t="n">
        <v>46255</v>
      </c>
      <c r="F598" t="inlineStr">
        <is>
          <t>KRONOBERGS LÄN</t>
        </is>
      </c>
      <c r="G598" t="inlineStr">
        <is>
          <t>ALVESTA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9674-2024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45362</v>
      </c>
      <c r="E599" s="1" t="n">
        <v>46255</v>
      </c>
      <c r="F599" t="inlineStr">
        <is>
          <t>KRONOBERGS LÄN</t>
        </is>
      </c>
      <c r="G599" t="inlineStr">
        <is>
          <t>ALVESTA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25393-2025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45800</v>
      </c>
      <c r="E600" s="1" t="n">
        <v>46255</v>
      </c>
      <c r="F600" t="inlineStr">
        <is>
          <t>KRONOBERGS LÄN</t>
        </is>
      </c>
      <c r="G600" t="inlineStr">
        <is>
          <t>ALVESTA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6489-2022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44601</v>
      </c>
      <c r="E601" s="1" t="n">
        <v>46255</v>
      </c>
      <c r="F601" t="inlineStr">
        <is>
          <t>KRONOBERGS LÄN</t>
        </is>
      </c>
      <c r="G601" t="inlineStr">
        <is>
          <t>ALVESTA</t>
        </is>
      </c>
      <c r="I601" t="n">
        <v>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21438-2025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45782</v>
      </c>
      <c r="E602" s="1" t="n">
        <v>46255</v>
      </c>
      <c r="F602" t="inlineStr">
        <is>
          <t>KRONOBERGS LÄN</t>
        </is>
      </c>
      <c r="G602" t="inlineStr">
        <is>
          <t>ALVESTA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38765-2022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44816</v>
      </c>
      <c r="E603" s="1" t="n">
        <v>46255</v>
      </c>
      <c r="F603" t="inlineStr">
        <is>
          <t>KRONOBERGS LÄN</t>
        </is>
      </c>
      <c r="G603" t="inlineStr">
        <is>
          <t>ALVESTA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45476</v>
      </c>
      <c r="E604" s="1" t="n">
        <v>46255</v>
      </c>
      <c r="F604" t="inlineStr">
        <is>
          <t>KRONOBERGS LÄN</t>
        </is>
      </c>
      <c r="G604" t="inlineStr">
        <is>
          <t>ALVESTA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26977-2025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45811</v>
      </c>
      <c r="E605" s="1" t="n">
        <v>46255</v>
      </c>
      <c r="F605" t="inlineStr">
        <is>
          <t>KRONOBERGS LÄN</t>
        </is>
      </c>
      <c r="G605" t="inlineStr">
        <is>
          <t>ALVESTA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46255</v>
      </c>
      <c r="F606" t="inlineStr">
        <is>
          <t>KRONOBERGS LÄN</t>
        </is>
      </c>
      <c r="G606" t="inlineStr">
        <is>
          <t>ALVESTA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26969-2025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45811</v>
      </c>
      <c r="E607" s="1" t="n">
        <v>46255</v>
      </c>
      <c r="F607" t="inlineStr">
        <is>
          <t>KRONOBERGS LÄN</t>
        </is>
      </c>
      <c r="G607" t="inlineStr">
        <is>
          <t>ALVESTA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26965-2025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45811</v>
      </c>
      <c r="E608" s="1" t="n">
        <v>46255</v>
      </c>
      <c r="F608" t="inlineStr">
        <is>
          <t>KRONOBERGS LÄN</t>
        </is>
      </c>
      <c r="G608" t="inlineStr">
        <is>
          <t>ALVESTA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46255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46255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1569-2022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44643</v>
      </c>
      <c r="E611" s="1" t="n">
        <v>46255</v>
      </c>
      <c r="F611" t="inlineStr">
        <is>
          <t>KRONOBERGS LÄN</t>
        </is>
      </c>
      <c r="G611" t="inlineStr">
        <is>
          <t>ALVESTA</t>
        </is>
      </c>
      <c r="I611" t="n">
        <v>21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3838-2022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44743</v>
      </c>
      <c r="E612" s="1" t="n">
        <v>46255</v>
      </c>
      <c r="F612" t="inlineStr">
        <is>
          <t>KRONOBERGS LÄN</t>
        </is>
      </c>
      <c r="G612" t="inlineStr">
        <is>
          <t>ALVESTA</t>
        </is>
      </c>
      <c r="I612" t="n">
        <v>15.8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572-2024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45350</v>
      </c>
      <c r="E613" s="1" t="n">
        <v>46255</v>
      </c>
      <c r="F613" t="inlineStr">
        <is>
          <t>KRONOBERGS LÄN</t>
        </is>
      </c>
      <c r="G613" t="inlineStr">
        <is>
          <t>ALVESTA</t>
        </is>
      </c>
      <c r="I613" t="n">
        <v>32.7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6869-2022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44903</v>
      </c>
      <c r="E614" s="1" t="n">
        <v>46255</v>
      </c>
      <c r="F614" t="inlineStr">
        <is>
          <t>KRONOBERGS LÄN</t>
        </is>
      </c>
      <c r="G614" t="inlineStr">
        <is>
          <t>ALVESTA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2385-2023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45111</v>
      </c>
      <c r="E615" s="1" t="n">
        <v>46255</v>
      </c>
      <c r="F615" t="inlineStr">
        <is>
          <t>KRONOBERGS LÄN</t>
        </is>
      </c>
      <c r="G615" t="inlineStr">
        <is>
          <t>ALVESTA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3364-2024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46255</v>
      </c>
      <c r="F616" t="inlineStr">
        <is>
          <t>KRONOBERGS LÄN</t>
        </is>
      </c>
      <c r="G616" t="inlineStr">
        <is>
          <t>ALVESTA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2693-2024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45481</v>
      </c>
      <c r="E617" s="1" t="n">
        <v>46255</v>
      </c>
      <c r="F617" t="inlineStr">
        <is>
          <t>KRONOBERGS LÄN</t>
        </is>
      </c>
      <c r="G617" t="inlineStr">
        <is>
          <t>ALVESTA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8442-2021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44497</v>
      </c>
      <c r="E618" s="1" t="n">
        <v>46255</v>
      </c>
      <c r="F618" t="inlineStr">
        <is>
          <t>KRONOBERGS LÄN</t>
        </is>
      </c>
      <c r="G618" t="inlineStr">
        <is>
          <t>ALVESTA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3365-2024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45532</v>
      </c>
      <c r="E619" s="1" t="n">
        <v>46255</v>
      </c>
      <c r="F619" t="inlineStr">
        <is>
          <t>KRONOBERGS LÄN</t>
        </is>
      </c>
      <c r="G619" t="inlineStr">
        <is>
          <t>ALVESTA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4437-2023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45267</v>
      </c>
      <c r="E620" s="1" t="n">
        <v>46255</v>
      </c>
      <c r="F620" t="inlineStr">
        <is>
          <t>KRONOBERGS LÄN</t>
        </is>
      </c>
      <c r="G620" t="inlineStr">
        <is>
          <t>ALVESTA</t>
        </is>
      </c>
      <c r="I620" t="n">
        <v>10.6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1762-2024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45435</v>
      </c>
      <c r="E621" s="1" t="n">
        <v>46255</v>
      </c>
      <c r="F621" t="inlineStr">
        <is>
          <t>KRONOBERGS LÄN</t>
        </is>
      </c>
      <c r="G621" t="inlineStr">
        <is>
          <t>ALVESTA</t>
        </is>
      </c>
      <c r="I621" t="n">
        <v>17.4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46255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46255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46255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46255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46255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46255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46255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46255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46255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46255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46255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46255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46255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46255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46255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2170-2026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46255</v>
      </c>
      <c r="F637" t="inlineStr">
        <is>
          <t>KRONOBERGS LÄN</t>
        </is>
      </c>
      <c r="G637" t="inlineStr">
        <is>
          <t>ALVESTA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46251</v>
      </c>
      <c r="E638" s="1" t="n">
        <v>46255</v>
      </c>
      <c r="F638" t="inlineStr">
        <is>
          <t>KRONOBERGS LÄN</t>
        </is>
      </c>
      <c r="G638" t="inlineStr">
        <is>
          <t>ALVESTA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2026-08-21T01:51:15Z</dcterms:created>
  <dcterms:modified xmlns:dcterms="http://purl.org/dc/terms/" xmlns:xsi="http://www.w3.org/2001/XMLSchema-instance" xsi:type="dcterms:W3CDTF">2026-08-21T01:51:16Z</dcterms:modified>
</cp:coreProperties>
</file>