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45811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45811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45811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45811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45811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45811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45811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45811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45811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45811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45811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45811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45811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45811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45811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45811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45811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45811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45811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45811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45811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45811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45811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40568-2022</t>
        </is>
      </c>
      <c r="B25" s="1" t="n">
        <v>44823</v>
      </c>
      <c r="C25" s="1" t="n">
        <v>45811</v>
      </c>
      <c r="D25" t="inlineStr">
        <is>
          <t>KRONOBERGS LÄN</t>
        </is>
      </c>
      <c r="E25" t="inlineStr">
        <is>
          <t>ALVESTA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HYPERLINK("https://klasma.github.io/Logging_0764/artfynd/A 40568-2022 artfynd.xlsx", "A 40568-2022")</f>
        <v/>
      </c>
      <c r="T25">
        <f>HYPERLINK("https://klasma.github.io/Logging_0764/kartor/A 40568-2022 karta.png", "A 40568-2022")</f>
        <v/>
      </c>
      <c r="V25">
        <f>HYPERLINK("https://klasma.github.io/Logging_0764/klagomål/A 40568-2022 FSC-klagomål.docx", "A 40568-2022")</f>
        <v/>
      </c>
      <c r="W25">
        <f>HYPERLINK("https://klasma.github.io/Logging_0764/klagomålsmail/A 40568-2022 FSC-klagomål mail.docx", "A 40568-2022")</f>
        <v/>
      </c>
      <c r="X25">
        <f>HYPERLINK("https://klasma.github.io/Logging_0764/tillsyn/A 40568-2022 tillsynsbegäran.docx", "A 40568-2022")</f>
        <v/>
      </c>
      <c r="Y25">
        <f>HYPERLINK("https://klasma.github.io/Logging_0764/tillsynsmail/A 40568-2022 tillsynsbegäran mail.docx", "A 40568-2022")</f>
        <v/>
      </c>
      <c r="Z25">
        <f>HYPERLINK("https://klasma.github.io/Logging_0764/fåglar/A 40568-2022 prioriterade fågelarter.docx", "A 40568-2022")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45811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45811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45811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45811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45811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45811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46698-2023</t>
        </is>
      </c>
      <c r="B32" s="1" t="n">
        <v>45198</v>
      </c>
      <c r="C32" s="1" t="n">
        <v>45811</v>
      </c>
      <c r="D32" t="inlineStr">
        <is>
          <t>KRONOBERGS LÄN</t>
        </is>
      </c>
      <c r="E32" t="inlineStr">
        <is>
          <t>ALVESTA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46698-2023 artfynd.xlsx", "A 46698-2023")</f>
        <v/>
      </c>
      <c r="T32">
        <f>HYPERLINK("https://klasma.github.io/Logging_0764/kartor/A 46698-2023 karta.png", "A 46698-2023")</f>
        <v/>
      </c>
      <c r="V32">
        <f>HYPERLINK("https://klasma.github.io/Logging_0764/klagomål/A 46698-2023 FSC-klagomål.docx", "A 46698-2023")</f>
        <v/>
      </c>
      <c r="W32">
        <f>HYPERLINK("https://klasma.github.io/Logging_0764/klagomålsmail/A 46698-2023 FSC-klagomål mail.docx", "A 46698-2023")</f>
        <v/>
      </c>
      <c r="X32">
        <f>HYPERLINK("https://klasma.github.io/Logging_0764/tillsyn/A 46698-2023 tillsynsbegäran.docx", "A 46698-2023")</f>
        <v/>
      </c>
      <c r="Y32">
        <f>HYPERLINK("https://klasma.github.io/Logging_0764/tillsynsmail/A 46698-2023 tillsynsbegäran mail.docx", "A 46698-2023")</f>
        <v/>
      </c>
      <c r="Z32">
        <f>HYPERLINK("https://klasma.github.io/Logging_0764/fåglar/A 46698-2023 prioriterade fågelarter.docx", "A 46698-2023")</f>
        <v/>
      </c>
    </row>
    <row r="33" ht="15" customHeight="1">
      <c r="A33" t="inlineStr">
        <is>
          <t>A 2251-2024</t>
        </is>
      </c>
      <c r="B33" s="1" t="n">
        <v>45310</v>
      </c>
      <c r="C33" s="1" t="n">
        <v>45811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2251-2024 artfynd.xlsx", "A 2251-2024")</f>
        <v/>
      </c>
      <c r="T33">
        <f>HYPERLINK("https://klasma.github.io/Logging_0764/kartor/A 2251-2024 karta.png", "A 2251-2024")</f>
        <v/>
      </c>
      <c r="V33">
        <f>HYPERLINK("https://klasma.github.io/Logging_0764/klagomål/A 2251-2024 FSC-klagomål.docx", "A 2251-2024")</f>
        <v/>
      </c>
      <c r="W33">
        <f>HYPERLINK("https://klasma.github.io/Logging_0764/klagomålsmail/A 2251-2024 FSC-klagomål mail.docx", "A 2251-2024")</f>
        <v/>
      </c>
      <c r="X33">
        <f>HYPERLINK("https://klasma.github.io/Logging_0764/tillsyn/A 2251-2024 tillsynsbegäran.docx", "A 2251-2024")</f>
        <v/>
      </c>
      <c r="Y33">
        <f>HYPERLINK("https://klasma.github.io/Logging_0764/tillsynsmail/A 2251-2024 tillsynsbegäran mail.docx", "A 2251-2024")</f>
        <v/>
      </c>
    </row>
    <row r="34" ht="15" customHeight="1">
      <c r="A34" t="inlineStr">
        <is>
          <t>A 17393-2024</t>
        </is>
      </c>
      <c r="B34" s="1" t="n">
        <v>45414</v>
      </c>
      <c r="C34" s="1" t="n">
        <v>45811</v>
      </c>
      <c r="D34" t="inlineStr">
        <is>
          <t>KRONOBERGS LÄN</t>
        </is>
      </c>
      <c r="E34" t="inlineStr">
        <is>
          <t>ALVESTA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17393-2024 artfynd.xlsx", "A 17393-2024")</f>
        <v/>
      </c>
      <c r="T34">
        <f>HYPERLINK("https://klasma.github.io/Logging_0764/kartor/A 17393-2024 karta.png", "A 17393-2024")</f>
        <v/>
      </c>
      <c r="V34">
        <f>HYPERLINK("https://klasma.github.io/Logging_0764/klagomål/A 17393-2024 FSC-klagomål.docx", "A 17393-2024")</f>
        <v/>
      </c>
      <c r="W34">
        <f>HYPERLINK("https://klasma.github.io/Logging_0764/klagomålsmail/A 17393-2024 FSC-klagomål mail.docx", "A 17393-2024")</f>
        <v/>
      </c>
      <c r="X34">
        <f>HYPERLINK("https://klasma.github.io/Logging_0764/tillsyn/A 17393-2024 tillsynsbegäran.docx", "A 17393-2024")</f>
        <v/>
      </c>
      <c r="Y34">
        <f>HYPERLINK("https://klasma.github.io/Logging_0764/tillsynsmail/A 17393-2024 tillsynsbegäran mail.docx", "A 17393-2024")</f>
        <v/>
      </c>
    </row>
    <row r="35" ht="15" customHeight="1">
      <c r="A35" t="inlineStr">
        <is>
          <t>A 22238-2024</t>
        </is>
      </c>
      <c r="B35" s="1" t="n">
        <v>45446</v>
      </c>
      <c r="C35" s="1" t="n">
        <v>45811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HYPERLINK("https://klasma.github.io/Logging_0764/artfynd/A 22238-2024 artfynd.xlsx", "A 22238-2024")</f>
        <v/>
      </c>
      <c r="T35">
        <f>HYPERLINK("https://klasma.github.io/Logging_0764/kartor/A 22238-2024 karta.png", "A 22238-2024")</f>
        <v/>
      </c>
      <c r="V35">
        <f>HYPERLINK("https://klasma.github.io/Logging_0764/klagomål/A 22238-2024 FSC-klagomål.docx", "A 22238-2024")</f>
        <v/>
      </c>
      <c r="W35">
        <f>HYPERLINK("https://klasma.github.io/Logging_0764/klagomålsmail/A 22238-2024 FSC-klagomål mail.docx", "A 22238-2024")</f>
        <v/>
      </c>
      <c r="X35">
        <f>HYPERLINK("https://klasma.github.io/Logging_0764/tillsyn/A 22238-2024 tillsynsbegäran.docx", "A 22238-2024")</f>
        <v/>
      </c>
      <c r="Y35">
        <f>HYPERLINK("https://klasma.github.io/Logging_0764/tillsynsmail/A 22238-2024 tillsynsbegäran mail.docx", "A 22238-2024")</f>
        <v/>
      </c>
    </row>
    <row r="36" ht="15" customHeight="1">
      <c r="A36" t="inlineStr">
        <is>
          <t>A 25113-2024</t>
        </is>
      </c>
      <c r="B36" s="1" t="n">
        <v>45462</v>
      </c>
      <c r="C36" s="1" t="n">
        <v>45811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25113-2024 artfynd.xlsx", "A 25113-2024")</f>
        <v/>
      </c>
      <c r="T36">
        <f>HYPERLINK("https://klasma.github.io/Logging_0764/kartor/A 25113-2024 karta.png", "A 25113-2024")</f>
        <v/>
      </c>
      <c r="V36">
        <f>HYPERLINK("https://klasma.github.io/Logging_0764/klagomål/A 25113-2024 FSC-klagomål.docx", "A 25113-2024")</f>
        <v/>
      </c>
      <c r="W36">
        <f>HYPERLINK("https://klasma.github.io/Logging_0764/klagomålsmail/A 25113-2024 FSC-klagomål mail.docx", "A 25113-2024")</f>
        <v/>
      </c>
      <c r="X36">
        <f>HYPERLINK("https://klasma.github.io/Logging_0764/tillsyn/A 25113-2024 tillsynsbegäran.docx", "A 25113-2024")</f>
        <v/>
      </c>
      <c r="Y36">
        <f>HYPERLINK("https://klasma.github.io/Logging_0764/tillsynsmail/A 25113-2024 tillsynsbegäran mail.docx", "A 25113-2024")</f>
        <v/>
      </c>
    </row>
    <row r="37" ht="15" customHeight="1">
      <c r="A37" t="inlineStr">
        <is>
          <t>A 26726-2024</t>
        </is>
      </c>
      <c r="B37" s="1" t="n">
        <v>45470</v>
      </c>
      <c r="C37" s="1" t="n">
        <v>45811</v>
      </c>
      <c r="D37" t="inlineStr">
        <is>
          <t>KRONOBERGS LÄN</t>
        </is>
      </c>
      <c r="E37" t="inlineStr">
        <is>
          <t>ALVESTA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HYPERLINK("https://klasma.github.io/Logging_0764/artfynd/A 26726-2024 artfynd.xlsx", "A 26726-2024")</f>
        <v/>
      </c>
      <c r="T37">
        <f>HYPERLINK("https://klasma.github.io/Logging_0764/kartor/A 26726-2024 karta.png", "A 26726-2024")</f>
        <v/>
      </c>
      <c r="V37">
        <f>HYPERLINK("https://klasma.github.io/Logging_0764/klagomål/A 26726-2024 FSC-klagomål.docx", "A 26726-2024")</f>
        <v/>
      </c>
      <c r="W37">
        <f>HYPERLINK("https://klasma.github.io/Logging_0764/klagomålsmail/A 26726-2024 FSC-klagomål mail.docx", "A 26726-2024")</f>
        <v/>
      </c>
      <c r="X37">
        <f>HYPERLINK("https://klasma.github.io/Logging_0764/tillsyn/A 26726-2024 tillsynsbegäran.docx", "A 26726-2024")</f>
        <v/>
      </c>
      <c r="Y37">
        <f>HYPERLINK("https://klasma.github.io/Logging_0764/tillsynsmail/A 26726-2024 tillsynsbegäran mail.docx", "A 26726-2024")</f>
        <v/>
      </c>
    </row>
    <row r="38" ht="15" customHeight="1">
      <c r="A38" t="inlineStr">
        <is>
          <t>A 27081-2024</t>
        </is>
      </c>
      <c r="B38" s="1" t="n">
        <v>45471</v>
      </c>
      <c r="C38" s="1" t="n">
        <v>45811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HYPERLINK("https://klasma.github.io/Logging_0764/artfynd/A 27081-2024 artfynd.xlsx", "A 27081-2024")</f>
        <v/>
      </c>
      <c r="T38">
        <f>HYPERLINK("https://klasma.github.io/Logging_0764/kartor/A 27081-2024 karta.png", "A 27081-2024")</f>
        <v/>
      </c>
      <c r="V38">
        <f>HYPERLINK("https://klasma.github.io/Logging_0764/klagomål/A 27081-2024 FSC-klagomål.docx", "A 27081-2024")</f>
        <v/>
      </c>
      <c r="W38">
        <f>HYPERLINK("https://klasma.github.io/Logging_0764/klagomålsmail/A 27081-2024 FSC-klagomål mail.docx", "A 27081-2024")</f>
        <v/>
      </c>
      <c r="X38">
        <f>HYPERLINK("https://klasma.github.io/Logging_0764/tillsyn/A 27081-2024 tillsynsbegäran.docx", "A 27081-2024")</f>
        <v/>
      </c>
      <c r="Y38">
        <f>HYPERLINK("https://klasma.github.io/Logging_0764/tillsynsmail/A 27081-2024 tillsynsbegäran mail.docx", "A 27081-2024")</f>
        <v/>
      </c>
    </row>
    <row r="39" ht="15" customHeight="1">
      <c r="A39" t="inlineStr">
        <is>
          <t>A 38890-2024</t>
        </is>
      </c>
      <c r="B39" s="1" t="n">
        <v>45547</v>
      </c>
      <c r="C39" s="1" t="n">
        <v>45811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HYPERLINK("https://klasma.github.io/Logging_0764/artfynd/A 38890-2024 artfynd.xlsx", "A 38890-2024")</f>
        <v/>
      </c>
      <c r="T39">
        <f>HYPERLINK("https://klasma.github.io/Logging_0764/kartor/A 38890-2024 karta.png", "A 38890-2024")</f>
        <v/>
      </c>
      <c r="V39">
        <f>HYPERLINK("https://klasma.github.io/Logging_0764/klagomål/A 38890-2024 FSC-klagomål.docx", "A 38890-2024")</f>
        <v/>
      </c>
      <c r="W39">
        <f>HYPERLINK("https://klasma.github.io/Logging_0764/klagomålsmail/A 38890-2024 FSC-klagomål mail.docx", "A 38890-2024")</f>
        <v/>
      </c>
      <c r="X39">
        <f>HYPERLINK("https://klasma.github.io/Logging_0764/tillsyn/A 38890-2024 tillsynsbegäran.docx", "A 38890-2024")</f>
        <v/>
      </c>
      <c r="Y39">
        <f>HYPERLINK("https://klasma.github.io/Logging_0764/tillsynsmail/A 38890-2024 tillsynsbegäran mail.docx", "A 38890-2024")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45811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46344-2024</t>
        </is>
      </c>
      <c r="B41" s="1" t="n">
        <v>45582</v>
      </c>
      <c r="C41" s="1" t="n">
        <v>45811</v>
      </c>
      <c r="D41" t="inlineStr">
        <is>
          <t>KRONOBERGS LÄN</t>
        </is>
      </c>
      <c r="E41" t="inlineStr">
        <is>
          <t>ALVESTA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46344-2024 artfynd.xlsx", "A 46344-2024")</f>
        <v/>
      </c>
      <c r="T41">
        <f>HYPERLINK("https://klasma.github.io/Logging_0764/kartor/A 46344-2024 karta.png", "A 46344-2024")</f>
        <v/>
      </c>
      <c r="V41">
        <f>HYPERLINK("https://klasma.github.io/Logging_0764/klagomål/A 46344-2024 FSC-klagomål.docx", "A 46344-2024")</f>
        <v/>
      </c>
      <c r="W41">
        <f>HYPERLINK("https://klasma.github.io/Logging_0764/klagomålsmail/A 46344-2024 FSC-klagomål mail.docx", "A 46344-2024")</f>
        <v/>
      </c>
      <c r="X41">
        <f>HYPERLINK("https://klasma.github.io/Logging_0764/tillsyn/A 46344-2024 tillsynsbegäran.docx", "A 46344-2024")</f>
        <v/>
      </c>
      <c r="Y41">
        <f>HYPERLINK("https://klasma.github.io/Logging_0764/tillsynsmail/A 46344-2024 tillsynsbegäran mail.docx", "A 46344-2024")</f>
        <v/>
      </c>
    </row>
    <row r="42" ht="15" customHeight="1">
      <c r="A42" t="inlineStr">
        <is>
          <t>A 59362-2024</t>
        </is>
      </c>
      <c r="B42" s="1" t="n">
        <v>45638</v>
      </c>
      <c r="C42" s="1" t="n">
        <v>45811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59362-2024 artfynd.xlsx", "A 59362-2024")</f>
        <v/>
      </c>
      <c r="T42">
        <f>HYPERLINK("https://klasma.github.io/Logging_0764/kartor/A 59362-2024 karta.png", "A 59362-2024")</f>
        <v/>
      </c>
      <c r="V42">
        <f>HYPERLINK("https://klasma.github.io/Logging_0764/klagomål/A 59362-2024 FSC-klagomål.docx", "A 59362-2024")</f>
        <v/>
      </c>
      <c r="W42">
        <f>HYPERLINK("https://klasma.github.io/Logging_0764/klagomålsmail/A 59362-2024 FSC-klagomål mail.docx", "A 59362-2024")</f>
        <v/>
      </c>
      <c r="X42">
        <f>HYPERLINK("https://klasma.github.io/Logging_0764/tillsyn/A 59362-2024 tillsynsbegäran.docx", "A 59362-2024")</f>
        <v/>
      </c>
      <c r="Y42">
        <f>HYPERLINK("https://klasma.github.io/Logging_0764/tillsynsmail/A 59362-2024 tillsynsbegäran mail.docx", "A 59362-2024")</f>
        <v/>
      </c>
    </row>
    <row r="43" ht="15" customHeight="1">
      <c r="A43" t="inlineStr">
        <is>
          <t>A 430-2025</t>
        </is>
      </c>
      <c r="B43" s="1" t="n">
        <v>45664</v>
      </c>
      <c r="C43" s="1" t="n">
        <v>45811</v>
      </c>
      <c r="D43" t="inlineStr">
        <is>
          <t>KRONOBERGS LÄN</t>
        </is>
      </c>
      <c r="E43" t="inlineStr">
        <is>
          <t>ALVESTA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HYPERLINK("https://klasma.github.io/Logging_0764/artfynd/A 430-2025 artfynd.xlsx", "A 430-2025")</f>
        <v/>
      </c>
      <c r="T43">
        <f>HYPERLINK("https://klasma.github.io/Logging_0764/kartor/A 430-2025 karta.png", "A 430-2025")</f>
        <v/>
      </c>
      <c r="V43">
        <f>HYPERLINK("https://klasma.github.io/Logging_0764/klagomål/A 430-2025 FSC-klagomål.docx", "A 430-2025")</f>
        <v/>
      </c>
      <c r="W43">
        <f>HYPERLINK("https://klasma.github.io/Logging_0764/klagomålsmail/A 430-2025 FSC-klagomål mail.docx", "A 430-2025")</f>
        <v/>
      </c>
      <c r="X43">
        <f>HYPERLINK("https://klasma.github.io/Logging_0764/tillsyn/A 430-2025 tillsynsbegäran.docx", "A 430-2025")</f>
        <v/>
      </c>
      <c r="Y43">
        <f>HYPERLINK("https://klasma.github.io/Logging_0764/tillsynsmail/A 430-2025 tillsynsbegäran mail.docx", "A 430-2025")</f>
        <v/>
      </c>
      <c r="Z43">
        <f>HYPERLINK("https://klasma.github.io/Logging_0764/fåglar/A 430-2025 prioriterade fågelarter.docx", "A 430-2025")</f>
        <v/>
      </c>
    </row>
    <row r="44" ht="15" customHeight="1">
      <c r="A44" t="inlineStr">
        <is>
          <t>A 1811-2025</t>
        </is>
      </c>
      <c r="B44" s="1" t="n">
        <v>45670</v>
      </c>
      <c r="C44" s="1" t="n">
        <v>45811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HYPERLINK("https://klasma.github.io/Logging_0764/artfynd/A 1811-2025 artfynd.xlsx", "A 1811-2025")</f>
        <v/>
      </c>
      <c r="T44">
        <f>HYPERLINK("https://klasma.github.io/Logging_0764/kartor/A 1811-2025 karta.png", "A 1811-2025")</f>
        <v/>
      </c>
      <c r="V44">
        <f>HYPERLINK("https://klasma.github.io/Logging_0764/klagomål/A 1811-2025 FSC-klagomål.docx", "A 1811-2025")</f>
        <v/>
      </c>
      <c r="W44">
        <f>HYPERLINK("https://klasma.github.io/Logging_0764/klagomålsmail/A 1811-2025 FSC-klagomål mail.docx", "A 1811-2025")</f>
        <v/>
      </c>
      <c r="X44">
        <f>HYPERLINK("https://klasma.github.io/Logging_0764/tillsyn/A 1811-2025 tillsynsbegäran.docx", "A 1811-2025")</f>
        <v/>
      </c>
      <c r="Y44">
        <f>HYPERLINK("https://klasma.github.io/Logging_0764/tillsynsmail/A 1811-2025 tillsynsbegäran mail.docx", "A 1811-2025")</f>
        <v/>
      </c>
      <c r="Z44">
        <f>HYPERLINK("https://klasma.github.io/Logging_0764/fåglar/A 1811-2025 prioriterade fågelarter.docx", "A 1811-2025")</f>
        <v/>
      </c>
    </row>
    <row r="45" ht="15" customHeight="1">
      <c r="A45" t="inlineStr">
        <is>
          <t>A 18486-2025</t>
        </is>
      </c>
      <c r="B45" s="1" t="n">
        <v>45763</v>
      </c>
      <c r="C45" s="1" t="n">
        <v>45811</v>
      </c>
      <c r="D45" t="inlineStr">
        <is>
          <t>KRONOBERGS LÄN</t>
        </is>
      </c>
      <c r="E45" t="inlineStr">
        <is>
          <t>ALVESTA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HYPERLINK("https://klasma.github.io/Logging_070764/artfynd/A 18486-2025 artfynd.xlsx", "A 18486-2025")</f>
        <v/>
      </c>
      <c r="T45">
        <f>HYPERLINK("https://klasma.github.io/Logging_070764/kartor/A 18486-2025 karta.png", "A 18486-2025")</f>
        <v/>
      </c>
      <c r="V45">
        <f>HYPERLINK("https://klasma.github.io/Logging_070764/klagomål/A 18486-2025 FSC-klagomål.docx", "A 18486-2025")</f>
        <v/>
      </c>
      <c r="W45">
        <f>HYPERLINK("https://klasma.github.io/Logging_070764/klagomålsmail/A 18486-2025 FSC-klagomål mail.docx", "A 18486-2025")</f>
        <v/>
      </c>
      <c r="X45">
        <f>HYPERLINK("https://klasma.github.io/Logging_070764/tillsyn/A 18486-2025 tillsynsbegäran.docx", "A 18486-2025")</f>
        <v/>
      </c>
      <c r="Y45">
        <f>HYPERLINK("https://klasma.github.io/Logging_070764/tillsynsmail/A 18486-2025 tillsynsbegäran mail.docx", "A 18486-2025")</f>
        <v/>
      </c>
      <c r="Z45">
        <f>HYPERLINK("https://klasma.github.io/Logging_070764/fåglar/A 18486-2025 prioriterade fågelarter.docx", "A 18486-2025")</f>
        <v/>
      </c>
    </row>
    <row r="46" ht="15" customHeight="1">
      <c r="A46" t="inlineStr">
        <is>
          <t>A 18637-2019</t>
        </is>
      </c>
      <c r="B46" s="1" t="n">
        <v>43560</v>
      </c>
      <c r="C46" s="1" t="n">
        <v>45811</v>
      </c>
      <c r="D46" t="inlineStr">
        <is>
          <t>KRONOBERGS LÄN</t>
        </is>
      </c>
      <c r="E46" t="inlineStr">
        <is>
          <t>ALVESTA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18726-2019</t>
        </is>
      </c>
      <c r="B47" s="1" t="n">
        <v>43560</v>
      </c>
      <c r="C47" s="1" t="n">
        <v>45811</v>
      </c>
      <c r="D47" t="inlineStr">
        <is>
          <t>KRONOBERGS LÄN</t>
        </is>
      </c>
      <c r="E47" t="inlineStr">
        <is>
          <t>ALVESTA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18594-2019</t>
        </is>
      </c>
      <c r="B48" s="1" t="n">
        <v>43560</v>
      </c>
      <c r="C48" s="1" t="n">
        <v>45811</v>
      </c>
      <c r="D48" t="inlineStr">
        <is>
          <t>KRONOBERGS LÄN</t>
        </is>
      </c>
      <c r="E48" t="inlineStr">
        <is>
          <t>ALVESTA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18983-2019</t>
        </is>
      </c>
      <c r="B49" s="1" t="n">
        <v>43563</v>
      </c>
      <c r="C49" s="1" t="n">
        <v>45811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19816-2019</t>
        </is>
      </c>
      <c r="B50" s="1" t="n">
        <v>43567</v>
      </c>
      <c r="C50" s="1" t="n">
        <v>45811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20526-2019</t>
        </is>
      </c>
      <c r="B51" s="1" t="n">
        <v>43572</v>
      </c>
      <c r="C51" s="1" t="n">
        <v>45811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21488-2019</t>
        </is>
      </c>
      <c r="B52" s="1" t="n">
        <v>43580</v>
      </c>
      <c r="C52" s="1" t="n">
        <v>45811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22419-2019</t>
        </is>
      </c>
      <c r="B53" s="1" t="n">
        <v>43587</v>
      </c>
      <c r="C53" s="1" t="n">
        <v>45811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23355-2019</t>
        </is>
      </c>
      <c r="B54" s="1" t="n">
        <v>43593</v>
      </c>
      <c r="C54" s="1" t="n">
        <v>45811</v>
      </c>
      <c r="D54" t="inlineStr">
        <is>
          <t>KRONOBERGS LÄN</t>
        </is>
      </c>
      <c r="E54" t="inlineStr">
        <is>
          <t>ALVESTA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24701-2019</t>
        </is>
      </c>
      <c r="B55" s="1" t="n">
        <v>43601</v>
      </c>
      <c r="C55" s="1" t="n">
        <v>45811</v>
      </c>
      <c r="D55" t="inlineStr">
        <is>
          <t>KRONOBERGS LÄN</t>
        </is>
      </c>
      <c r="E55" t="inlineStr">
        <is>
          <t>ALVESTA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25261-2019</t>
        </is>
      </c>
      <c r="B56" s="1" t="n">
        <v>43605</v>
      </c>
      <c r="C56" s="1" t="n">
        <v>45811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25905-2019</t>
        </is>
      </c>
      <c r="B57" s="1" t="n">
        <v>43605</v>
      </c>
      <c r="C57" s="1" t="n">
        <v>45811</v>
      </c>
      <c r="D57" t="inlineStr">
        <is>
          <t>KRONOBERGS LÄN</t>
        </is>
      </c>
      <c r="E57" t="inlineStr">
        <is>
          <t>ALVESTA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25376-2019</t>
        </is>
      </c>
      <c r="B58" s="1" t="n">
        <v>43606</v>
      </c>
      <c r="C58" s="1" t="n">
        <v>45811</v>
      </c>
      <c r="D58" t="inlineStr">
        <is>
          <t>KRONOBERGS LÄN</t>
        </is>
      </c>
      <c r="E58" t="inlineStr">
        <is>
          <t>ALVESTA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26439-2019</t>
        </is>
      </c>
      <c r="B59" s="1" t="n">
        <v>43607</v>
      </c>
      <c r="C59" s="1" t="n">
        <v>45811</v>
      </c>
      <c r="D59" t="inlineStr">
        <is>
          <t>KRONOBERGS LÄN</t>
        </is>
      </c>
      <c r="E59" t="inlineStr">
        <is>
          <t>ALVESTA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25734-2019</t>
        </is>
      </c>
      <c r="B60" s="1" t="n">
        <v>43608</v>
      </c>
      <c r="C60" s="1" t="n">
        <v>45811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25732-2019</t>
        </is>
      </c>
      <c r="B61" s="1" t="n">
        <v>43608</v>
      </c>
      <c r="C61" s="1" t="n">
        <v>45811</v>
      </c>
      <c r="D61" t="inlineStr">
        <is>
          <t>KRONOBERGS LÄN</t>
        </is>
      </c>
      <c r="E61" t="inlineStr">
        <is>
          <t>ALVESTA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25731-2019</t>
        </is>
      </c>
      <c r="B62" s="1" t="n">
        <v>43608</v>
      </c>
      <c r="C62" s="1" t="n">
        <v>45811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26160-2019</t>
        </is>
      </c>
      <c r="B63" s="1" t="n">
        <v>43609</v>
      </c>
      <c r="C63" s="1" t="n">
        <v>45811</v>
      </c>
      <c r="D63" t="inlineStr">
        <is>
          <t>KRONOBERGS LÄN</t>
        </is>
      </c>
      <c r="E63" t="inlineStr">
        <is>
          <t>ALVESTA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26159-2019</t>
        </is>
      </c>
      <c r="B64" s="1" t="n">
        <v>43609</v>
      </c>
      <c r="C64" s="1" t="n">
        <v>45811</v>
      </c>
      <c r="D64" t="inlineStr">
        <is>
          <t>KRONOBERGS LÄN</t>
        </is>
      </c>
      <c r="E64" t="inlineStr">
        <is>
          <t>ALVESTA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26630-2019</t>
        </is>
      </c>
      <c r="B65" s="1" t="n">
        <v>43612</v>
      </c>
      <c r="C65" s="1" t="n">
        <v>45811</v>
      </c>
      <c r="D65" t="inlineStr">
        <is>
          <t>KRONOBERGS LÄN</t>
        </is>
      </c>
      <c r="E65" t="inlineStr">
        <is>
          <t>ALVESTA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27695-2019</t>
        </is>
      </c>
      <c r="B66" s="1" t="n">
        <v>43612</v>
      </c>
      <c r="C66" s="1" t="n">
        <v>45811</v>
      </c>
      <c r="D66" t="inlineStr">
        <is>
          <t>KRONOBERGS LÄN</t>
        </is>
      </c>
      <c r="E66" t="inlineStr">
        <is>
          <t>ALVESTA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27353-2019</t>
        </is>
      </c>
      <c r="B67" s="1" t="n">
        <v>43616</v>
      </c>
      <c r="C67" s="1" t="n">
        <v>45811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28145-2019</t>
        </is>
      </c>
      <c r="B68" s="1" t="n">
        <v>43621</v>
      </c>
      <c r="C68" s="1" t="n">
        <v>45811</v>
      </c>
      <c r="D68" t="inlineStr">
        <is>
          <t>KRONOBERGS LÄN</t>
        </is>
      </c>
      <c r="E68" t="inlineStr">
        <is>
          <t>ALVESTA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28547-2019</t>
        </is>
      </c>
      <c r="B69" s="1" t="n">
        <v>43626</v>
      </c>
      <c r="C69" s="1" t="n">
        <v>45811</v>
      </c>
      <c r="D69" t="inlineStr">
        <is>
          <t>KRONOBERGS LÄN</t>
        </is>
      </c>
      <c r="E69" t="inlineStr">
        <is>
          <t>ALVESTA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28458-2019</t>
        </is>
      </c>
      <c r="B70" s="1" t="n">
        <v>43626</v>
      </c>
      <c r="C70" s="1" t="n">
        <v>45811</v>
      </c>
      <c r="D70" t="inlineStr">
        <is>
          <t>KRONOBERGS LÄN</t>
        </is>
      </c>
      <c r="E70" t="inlineStr">
        <is>
          <t>ALVESTA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28686-2019</t>
        </is>
      </c>
      <c r="B71" s="1" t="n">
        <v>43627</v>
      </c>
      <c r="C71" s="1" t="n">
        <v>45811</v>
      </c>
      <c r="D71" t="inlineStr">
        <is>
          <t>KRONOBERGS LÄN</t>
        </is>
      </c>
      <c r="E71" t="inlineStr">
        <is>
          <t>ALVESTA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28985-2019</t>
        </is>
      </c>
      <c r="B72" s="1" t="n">
        <v>43628</v>
      </c>
      <c r="C72" s="1" t="n">
        <v>45811</v>
      </c>
      <c r="D72" t="inlineStr">
        <is>
          <t>KRONOBERGS LÄN</t>
        </is>
      </c>
      <c r="E72" t="inlineStr">
        <is>
          <t>ALVESTA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29622-2019</t>
        </is>
      </c>
      <c r="B73" s="1" t="n">
        <v>43630</v>
      </c>
      <c r="C73" s="1" t="n">
        <v>45811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30006-2019</t>
        </is>
      </c>
      <c r="B74" s="1" t="n">
        <v>43633</v>
      </c>
      <c r="C74" s="1" t="n">
        <v>45811</v>
      </c>
      <c r="D74" t="inlineStr">
        <is>
          <t>KRONOBERGS LÄN</t>
        </is>
      </c>
      <c r="E74" t="inlineStr">
        <is>
          <t>ALVESTA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30241-2019</t>
        </is>
      </c>
      <c r="B75" s="1" t="n">
        <v>43634</v>
      </c>
      <c r="C75" s="1" t="n">
        <v>45811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30291-2019</t>
        </is>
      </c>
      <c r="B76" s="1" t="n">
        <v>43634</v>
      </c>
      <c r="C76" s="1" t="n">
        <v>45811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30663-2019</t>
        </is>
      </c>
      <c r="B77" s="1" t="n">
        <v>43636</v>
      </c>
      <c r="C77" s="1" t="n">
        <v>45811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30659-2019</t>
        </is>
      </c>
      <c r="B78" s="1" t="n">
        <v>43636</v>
      </c>
      <c r="C78" s="1" t="n">
        <v>45811</v>
      </c>
      <c r="D78" t="inlineStr">
        <is>
          <t>KRONOBERGS LÄN</t>
        </is>
      </c>
      <c r="E78" t="inlineStr">
        <is>
          <t>ALVESTA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30668-2019</t>
        </is>
      </c>
      <c r="B79" s="1" t="n">
        <v>43636</v>
      </c>
      <c r="C79" s="1" t="n">
        <v>45811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30672-2019</t>
        </is>
      </c>
      <c r="B80" s="1" t="n">
        <v>43636</v>
      </c>
      <c r="C80" s="1" t="n">
        <v>45811</v>
      </c>
      <c r="D80" t="inlineStr">
        <is>
          <t>KRONOBERGS LÄN</t>
        </is>
      </c>
      <c r="E80" t="inlineStr">
        <is>
          <t>ALVESTA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31013-2019</t>
        </is>
      </c>
      <c r="B81" s="1" t="n">
        <v>43640</v>
      </c>
      <c r="C81" s="1" t="n">
        <v>45811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31182-2019</t>
        </is>
      </c>
      <c r="B82" s="1" t="n">
        <v>43640</v>
      </c>
      <c r="C82" s="1" t="n">
        <v>45811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32246-2019</t>
        </is>
      </c>
      <c r="B83" s="1" t="n">
        <v>43644</v>
      </c>
      <c r="C83" s="1" t="n">
        <v>45811</v>
      </c>
      <c r="D83" t="inlineStr">
        <is>
          <t>KRONOBERGS LÄN</t>
        </is>
      </c>
      <c r="E83" t="inlineStr">
        <is>
          <t>ALVESTA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32240-2019</t>
        </is>
      </c>
      <c r="B84" s="1" t="n">
        <v>43644</v>
      </c>
      <c r="C84" s="1" t="n">
        <v>45811</v>
      </c>
      <c r="D84" t="inlineStr">
        <is>
          <t>KRONOBERGS LÄN</t>
        </is>
      </c>
      <c r="E84" t="inlineStr">
        <is>
          <t>ALVESTA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35352-2019</t>
        </is>
      </c>
      <c r="B85" s="1" t="n">
        <v>43651</v>
      </c>
      <c r="C85" s="1" t="n">
        <v>45811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33894-2019</t>
        </is>
      </c>
      <c r="B86" s="1" t="n">
        <v>43653</v>
      </c>
      <c r="C86" s="1" t="n">
        <v>45811</v>
      </c>
      <c r="D86" t="inlineStr">
        <is>
          <t>KRONOBERGS LÄN</t>
        </is>
      </c>
      <c r="E86" t="inlineStr">
        <is>
          <t>ALVESTA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34077-2019</t>
        </is>
      </c>
      <c r="B87" s="1" t="n">
        <v>43654</v>
      </c>
      <c r="C87" s="1" t="n">
        <v>45811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34206-2019</t>
        </is>
      </c>
      <c r="B88" s="1" t="n">
        <v>43655</v>
      </c>
      <c r="C88" s="1" t="n">
        <v>45811</v>
      </c>
      <c r="D88" t="inlineStr">
        <is>
          <t>KRONOBERGS LÄN</t>
        </is>
      </c>
      <c r="E88" t="inlineStr">
        <is>
          <t>ALVESTA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35626-2019</t>
        </is>
      </c>
      <c r="B89" s="1" t="n">
        <v>43655</v>
      </c>
      <c r="C89" s="1" t="n">
        <v>45811</v>
      </c>
      <c r="D89" t="inlineStr">
        <is>
          <t>KRONOBERGS LÄN</t>
        </is>
      </c>
      <c r="E89" t="inlineStr">
        <is>
          <t>ALVESTA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35159-2019</t>
        </is>
      </c>
      <c r="B90" s="1" t="n">
        <v>43661</v>
      </c>
      <c r="C90" s="1" t="n">
        <v>45811</v>
      </c>
      <c r="D90" t="inlineStr">
        <is>
          <t>KRONOBERGS LÄN</t>
        </is>
      </c>
      <c r="E90" t="inlineStr">
        <is>
          <t>ALVESTA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35599-2019</t>
        </is>
      </c>
      <c r="B91" s="1" t="n">
        <v>43664</v>
      </c>
      <c r="C91" s="1" t="n">
        <v>45811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35604-2019</t>
        </is>
      </c>
      <c r="B92" s="1" t="n">
        <v>43664</v>
      </c>
      <c r="C92" s="1" t="n">
        <v>45811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35605-2019</t>
        </is>
      </c>
      <c r="B93" s="1" t="n">
        <v>43664</v>
      </c>
      <c r="C93" s="1" t="n">
        <v>45811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35978-2019</t>
        </is>
      </c>
      <c r="B94" s="1" t="n">
        <v>43667</v>
      </c>
      <c r="C94" s="1" t="n">
        <v>45811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35981-2019</t>
        </is>
      </c>
      <c r="B95" s="1" t="n">
        <v>43667</v>
      </c>
      <c r="C95" s="1" t="n">
        <v>45811</v>
      </c>
      <c r="D95" t="inlineStr">
        <is>
          <t>KRONOBERGS LÄN</t>
        </is>
      </c>
      <c r="E95" t="inlineStr">
        <is>
          <t>ALVESTA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35979-2019</t>
        </is>
      </c>
      <c r="B96" s="1" t="n">
        <v>43667</v>
      </c>
      <c r="C96" s="1" t="n">
        <v>45811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36068-2019</t>
        </is>
      </c>
      <c r="B97" s="1" t="n">
        <v>43668</v>
      </c>
      <c r="C97" s="1" t="n">
        <v>45811</v>
      </c>
      <c r="D97" t="inlineStr">
        <is>
          <t>KRONOBERGS LÄN</t>
        </is>
      </c>
      <c r="E97" t="inlineStr">
        <is>
          <t>ALVESTA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36078-2019</t>
        </is>
      </c>
      <c r="B98" s="1" t="n">
        <v>43668</v>
      </c>
      <c r="C98" s="1" t="n">
        <v>45811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36204-2019</t>
        </is>
      </c>
      <c r="B99" s="1" t="n">
        <v>43669</v>
      </c>
      <c r="C99" s="1" t="n">
        <v>45811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36773-2019</t>
        </is>
      </c>
      <c r="B100" s="1" t="n">
        <v>43672</v>
      </c>
      <c r="C100" s="1" t="n">
        <v>45811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36872-2019</t>
        </is>
      </c>
      <c r="B101" s="1" t="n">
        <v>43675</v>
      </c>
      <c r="C101" s="1" t="n">
        <v>45811</v>
      </c>
      <c r="D101" t="inlineStr">
        <is>
          <t>KRONOBERGS LÄN</t>
        </is>
      </c>
      <c r="E101" t="inlineStr">
        <is>
          <t>ALVESTA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36905-2019</t>
        </is>
      </c>
      <c r="B102" s="1" t="n">
        <v>43675</v>
      </c>
      <c r="C102" s="1" t="n">
        <v>45811</v>
      </c>
      <c r="D102" t="inlineStr">
        <is>
          <t>KRONOBERGS LÄN</t>
        </is>
      </c>
      <c r="E102" t="inlineStr">
        <is>
          <t>ALVESTA</t>
        </is>
      </c>
      <c r="F102" t="inlineStr">
        <is>
          <t>Kyrkan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38012-2019</t>
        </is>
      </c>
      <c r="B103" s="1" t="n">
        <v>43683</v>
      </c>
      <c r="C103" s="1" t="n">
        <v>45811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38162-2019</t>
        </is>
      </c>
      <c r="B104" s="1" t="n">
        <v>43684</v>
      </c>
      <c r="C104" s="1" t="n">
        <v>45811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39217-2019</t>
        </is>
      </c>
      <c r="B105" s="1" t="n">
        <v>43690</v>
      </c>
      <c r="C105" s="1" t="n">
        <v>45811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39214-2019</t>
        </is>
      </c>
      <c r="B106" s="1" t="n">
        <v>43690</v>
      </c>
      <c r="C106" s="1" t="n">
        <v>45811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40063-2019</t>
        </is>
      </c>
      <c r="B107" s="1" t="n">
        <v>43690</v>
      </c>
      <c r="C107" s="1" t="n">
        <v>45811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40007-2019</t>
        </is>
      </c>
      <c r="B108" s="1" t="n">
        <v>43690</v>
      </c>
      <c r="C108" s="1" t="n">
        <v>45811</v>
      </c>
      <c r="D108" t="inlineStr">
        <is>
          <t>KRONOBERGS LÄN</t>
        </is>
      </c>
      <c r="E108" t="inlineStr">
        <is>
          <t>ALVESTA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41400-2019</t>
        </is>
      </c>
      <c r="B109" s="1" t="n">
        <v>43698</v>
      </c>
      <c r="C109" s="1" t="n">
        <v>45811</v>
      </c>
      <c r="D109" t="inlineStr">
        <is>
          <t>KRONOBERGS LÄN</t>
        </is>
      </c>
      <c r="E109" t="inlineStr">
        <is>
          <t>ALVESTA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41372-2019</t>
        </is>
      </c>
      <c r="B110" s="1" t="n">
        <v>43698</v>
      </c>
      <c r="C110" s="1" t="n">
        <v>45811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41386-2019</t>
        </is>
      </c>
      <c r="B111" s="1" t="n">
        <v>43698</v>
      </c>
      <c r="C111" s="1" t="n">
        <v>45811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42658-2019</t>
        </is>
      </c>
      <c r="B112" s="1" t="n">
        <v>43704</v>
      </c>
      <c r="C112" s="1" t="n">
        <v>45811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43288-2019</t>
        </is>
      </c>
      <c r="B113" s="1" t="n">
        <v>43706</v>
      </c>
      <c r="C113" s="1" t="n">
        <v>45811</v>
      </c>
      <c r="D113" t="inlineStr">
        <is>
          <t>KRONOBERGS LÄN</t>
        </is>
      </c>
      <c r="E113" t="inlineStr">
        <is>
          <t>ALVESTA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43274-2019</t>
        </is>
      </c>
      <c r="B114" s="1" t="n">
        <v>43706</v>
      </c>
      <c r="C114" s="1" t="n">
        <v>45811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43751-2019</t>
        </is>
      </c>
      <c r="B115" s="1" t="n">
        <v>43707</v>
      </c>
      <c r="C115" s="1" t="n">
        <v>45811</v>
      </c>
      <c r="D115" t="inlineStr">
        <is>
          <t>KRONOBERGS LÄN</t>
        </is>
      </c>
      <c r="E115" t="inlineStr">
        <is>
          <t>ALVESTA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44525-2019</t>
        </is>
      </c>
      <c r="B116" s="1" t="n">
        <v>43711</v>
      </c>
      <c r="C116" s="1" t="n">
        <v>45811</v>
      </c>
      <c r="D116" t="inlineStr">
        <is>
          <t>KRONOBERGS LÄN</t>
        </is>
      </c>
      <c r="E116" t="inlineStr">
        <is>
          <t>ALVESTA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44387-2019</t>
        </is>
      </c>
      <c r="B117" s="1" t="n">
        <v>43711</v>
      </c>
      <c r="C117" s="1" t="n">
        <v>45811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44806-2019</t>
        </is>
      </c>
      <c r="B118" s="1" t="n">
        <v>43712</v>
      </c>
      <c r="C118" s="1" t="n">
        <v>45811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45514-2019</t>
        </is>
      </c>
      <c r="B119" s="1" t="n">
        <v>43714</v>
      </c>
      <c r="C119" s="1" t="n">
        <v>45811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45671-2019</t>
        </is>
      </c>
      <c r="B120" s="1" t="n">
        <v>43717</v>
      </c>
      <c r="C120" s="1" t="n">
        <v>45811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46315-2019</t>
        </is>
      </c>
      <c r="B121" s="1" t="n">
        <v>43718</v>
      </c>
      <c r="C121" s="1" t="n">
        <v>45811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46318-2019</t>
        </is>
      </c>
      <c r="B122" s="1" t="n">
        <v>43718</v>
      </c>
      <c r="C122" s="1" t="n">
        <v>45811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47980-2019</t>
        </is>
      </c>
      <c r="B123" s="1" t="n">
        <v>43725</v>
      </c>
      <c r="C123" s="1" t="n">
        <v>45811</v>
      </c>
      <c r="D123" t="inlineStr">
        <is>
          <t>KRONOBERGS LÄN</t>
        </is>
      </c>
      <c r="E123" t="inlineStr">
        <is>
          <t>ALVESTA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48679-2019</t>
        </is>
      </c>
      <c r="B124" s="1" t="n">
        <v>43728</v>
      </c>
      <c r="C124" s="1" t="n">
        <v>45811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48838-2019</t>
        </is>
      </c>
      <c r="B125" s="1" t="n">
        <v>43728</v>
      </c>
      <c r="C125" s="1" t="n">
        <v>45811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48676-2019</t>
        </is>
      </c>
      <c r="B126" s="1" t="n">
        <v>43728</v>
      </c>
      <c r="C126" s="1" t="n">
        <v>45811</v>
      </c>
      <c r="D126" t="inlineStr">
        <is>
          <t>KRONOBERGS LÄN</t>
        </is>
      </c>
      <c r="E126" t="inlineStr">
        <is>
          <t>ALVESTA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48664-2019</t>
        </is>
      </c>
      <c r="B127" s="1" t="n">
        <v>43728</v>
      </c>
      <c r="C127" s="1" t="n">
        <v>45811</v>
      </c>
      <c r="D127" t="inlineStr">
        <is>
          <t>KRONOBERGS LÄN</t>
        </is>
      </c>
      <c r="E127" t="inlineStr">
        <is>
          <t>ALVESTA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48672-2019</t>
        </is>
      </c>
      <c r="B128" s="1" t="n">
        <v>43728</v>
      </c>
      <c r="C128" s="1" t="n">
        <v>45811</v>
      </c>
      <c r="D128" t="inlineStr">
        <is>
          <t>KRONOBERGS LÄN</t>
        </is>
      </c>
      <c r="E128" t="inlineStr">
        <is>
          <t>ALVESTA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49400-2019</t>
        </is>
      </c>
      <c r="B129" s="1" t="n">
        <v>43732</v>
      </c>
      <c r="C129" s="1" t="n">
        <v>45811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49866-2019</t>
        </is>
      </c>
      <c r="B130" s="1" t="n">
        <v>43733</v>
      </c>
      <c r="C130" s="1" t="n">
        <v>45811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51754-2019</t>
        </is>
      </c>
      <c r="B131" s="1" t="n">
        <v>43734</v>
      </c>
      <c r="C131" s="1" t="n">
        <v>45811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50442-2019</t>
        </is>
      </c>
      <c r="B132" s="1" t="n">
        <v>43735</v>
      </c>
      <c r="C132" s="1" t="n">
        <v>45811</v>
      </c>
      <c r="D132" t="inlineStr">
        <is>
          <t>KRONOBERGS LÄN</t>
        </is>
      </c>
      <c r="E132" t="inlineStr">
        <is>
          <t>ALVESTA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51320-2019</t>
        </is>
      </c>
      <c r="B133" s="1" t="n">
        <v>43739</v>
      </c>
      <c r="C133" s="1" t="n">
        <v>45811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51319-2019</t>
        </is>
      </c>
      <c r="B134" s="1" t="n">
        <v>43739</v>
      </c>
      <c r="C134" s="1" t="n">
        <v>45811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51388-2019</t>
        </is>
      </c>
      <c r="B135" s="1" t="n">
        <v>43740</v>
      </c>
      <c r="C135" s="1" t="n">
        <v>45811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54451-2019</t>
        </is>
      </c>
      <c r="B136" s="1" t="n">
        <v>43747</v>
      </c>
      <c r="C136" s="1" t="n">
        <v>45811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54499-2019</t>
        </is>
      </c>
      <c r="B137" s="1" t="n">
        <v>43747</v>
      </c>
      <c r="C137" s="1" t="n">
        <v>45811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54504-2019</t>
        </is>
      </c>
      <c r="B138" s="1" t="n">
        <v>43747</v>
      </c>
      <c r="C138" s="1" t="n">
        <v>45811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54510-2019</t>
        </is>
      </c>
      <c r="B139" s="1" t="n">
        <v>43747</v>
      </c>
      <c r="C139" s="1" t="n">
        <v>45811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54516-2019</t>
        </is>
      </c>
      <c r="B140" s="1" t="n">
        <v>43747</v>
      </c>
      <c r="C140" s="1" t="n">
        <v>45811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54491-2019</t>
        </is>
      </c>
      <c r="B141" s="1" t="n">
        <v>43747</v>
      </c>
      <c r="C141" s="1" t="n">
        <v>45811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54497-2019</t>
        </is>
      </c>
      <c r="B142" s="1" t="n">
        <v>43747</v>
      </c>
      <c r="C142" s="1" t="n">
        <v>45811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54501-2019</t>
        </is>
      </c>
      <c r="B143" s="1" t="n">
        <v>43747</v>
      </c>
      <c r="C143" s="1" t="n">
        <v>45811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54507-2019</t>
        </is>
      </c>
      <c r="B144" s="1" t="n">
        <v>43747</v>
      </c>
      <c r="C144" s="1" t="n">
        <v>45811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54514-2019</t>
        </is>
      </c>
      <c r="B145" s="1" t="n">
        <v>43747</v>
      </c>
      <c r="C145" s="1" t="n">
        <v>45811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54521-2019</t>
        </is>
      </c>
      <c r="B146" s="1" t="n">
        <v>43747</v>
      </c>
      <c r="C146" s="1" t="n">
        <v>45811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54456-2019</t>
        </is>
      </c>
      <c r="B147" s="1" t="n">
        <v>43747</v>
      </c>
      <c r="C147" s="1" t="n">
        <v>45811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54496-2019</t>
        </is>
      </c>
      <c r="B148" s="1" t="n">
        <v>43747</v>
      </c>
      <c r="C148" s="1" t="n">
        <v>45811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54518-2019</t>
        </is>
      </c>
      <c r="B149" s="1" t="n">
        <v>43747</v>
      </c>
      <c r="C149" s="1" t="n">
        <v>45811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54448-2019</t>
        </is>
      </c>
      <c r="B150" s="1" t="n">
        <v>43747</v>
      </c>
      <c r="C150" s="1" t="n">
        <v>45811</v>
      </c>
      <c r="D150" t="inlineStr">
        <is>
          <t>KRONOBERGS LÄN</t>
        </is>
      </c>
      <c r="E150" t="inlineStr">
        <is>
          <t>ALVESTA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54493-2019</t>
        </is>
      </c>
      <c r="B151" s="1" t="n">
        <v>43747</v>
      </c>
      <c r="C151" s="1" t="n">
        <v>45811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54503-2019</t>
        </is>
      </c>
      <c r="B152" s="1" t="n">
        <v>43747</v>
      </c>
      <c r="C152" s="1" t="n">
        <v>45811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54515-2019</t>
        </is>
      </c>
      <c r="B153" s="1" t="n">
        <v>43747</v>
      </c>
      <c r="C153" s="1" t="n">
        <v>45811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54509-2019</t>
        </is>
      </c>
      <c r="B154" s="1" t="n">
        <v>43747</v>
      </c>
      <c r="C154" s="1" t="n">
        <v>45811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54513-2019</t>
        </is>
      </c>
      <c r="B155" s="1" t="n">
        <v>43747</v>
      </c>
      <c r="C155" s="1" t="n">
        <v>45811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54506-2019</t>
        </is>
      </c>
      <c r="B156" s="1" t="n">
        <v>43747</v>
      </c>
      <c r="C156" s="1" t="n">
        <v>45811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54500-2019</t>
        </is>
      </c>
      <c r="B157" s="1" t="n">
        <v>43747</v>
      </c>
      <c r="C157" s="1" t="n">
        <v>45811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54777-2019</t>
        </is>
      </c>
      <c r="B158" s="1" t="n">
        <v>43749</v>
      </c>
      <c r="C158" s="1" t="n">
        <v>45811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54783-2019</t>
        </is>
      </c>
      <c r="B159" s="1" t="n">
        <v>43749</v>
      </c>
      <c r="C159" s="1" t="n">
        <v>45811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54222-2019</t>
        </is>
      </c>
      <c r="B160" s="1" t="n">
        <v>43753</v>
      </c>
      <c r="C160" s="1" t="n">
        <v>45811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54218-2019</t>
        </is>
      </c>
      <c r="B161" s="1" t="n">
        <v>43753</v>
      </c>
      <c r="C161" s="1" t="n">
        <v>45811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54226-2019</t>
        </is>
      </c>
      <c r="B162" s="1" t="n">
        <v>43753</v>
      </c>
      <c r="C162" s="1" t="n">
        <v>45811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54964-2019</t>
        </is>
      </c>
      <c r="B163" s="1" t="n">
        <v>43755</v>
      </c>
      <c r="C163" s="1" t="n">
        <v>45811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55112-2019</t>
        </is>
      </c>
      <c r="B164" s="1" t="n">
        <v>43756</v>
      </c>
      <c r="C164" s="1" t="n">
        <v>45811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56666-2019</t>
        </is>
      </c>
      <c r="B165" s="1" t="n">
        <v>43759</v>
      </c>
      <c r="C165" s="1" t="n">
        <v>45811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59063-2019</t>
        </is>
      </c>
      <c r="B166" s="1" t="n">
        <v>43774</v>
      </c>
      <c r="C166" s="1" t="n">
        <v>45811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59065-2019</t>
        </is>
      </c>
      <c r="B167" s="1" t="n">
        <v>43774</v>
      </c>
      <c r="C167" s="1" t="n">
        <v>45811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59703-2019</t>
        </is>
      </c>
      <c r="B168" s="1" t="n">
        <v>43774</v>
      </c>
      <c r="C168" s="1" t="n">
        <v>45811</v>
      </c>
      <c r="D168" t="inlineStr">
        <is>
          <t>KRONOBERGS LÄN</t>
        </is>
      </c>
      <c r="E168" t="inlineStr">
        <is>
          <t>ALVESTA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59708-2019</t>
        </is>
      </c>
      <c r="B169" s="1" t="n">
        <v>43774</v>
      </c>
      <c r="C169" s="1" t="n">
        <v>45811</v>
      </c>
      <c r="D169" t="inlineStr">
        <is>
          <t>KRONOBERGS LÄN</t>
        </is>
      </c>
      <c r="E169" t="inlineStr">
        <is>
          <t>ALVESTA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59062-2019</t>
        </is>
      </c>
      <c r="B170" s="1" t="n">
        <v>43774</v>
      </c>
      <c r="C170" s="1" t="n">
        <v>45811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59848-2019</t>
        </is>
      </c>
      <c r="B171" s="1" t="n">
        <v>43777</v>
      </c>
      <c r="C171" s="1" t="n">
        <v>45811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59851-2019</t>
        </is>
      </c>
      <c r="B172" s="1" t="n">
        <v>43777</v>
      </c>
      <c r="C172" s="1" t="n">
        <v>45811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60526-2019</t>
        </is>
      </c>
      <c r="B173" s="1" t="n">
        <v>43781</v>
      </c>
      <c r="C173" s="1" t="n">
        <v>45811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62156-2019</t>
        </is>
      </c>
      <c r="B174" s="1" t="n">
        <v>43787</v>
      </c>
      <c r="C174" s="1" t="n">
        <v>45811</v>
      </c>
      <c r="D174" t="inlineStr">
        <is>
          <t>KRONOBERGS LÄN</t>
        </is>
      </c>
      <c r="E174" t="inlineStr">
        <is>
          <t>ALVESTA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63461-2019</t>
        </is>
      </c>
      <c r="B175" s="1" t="n">
        <v>43794</v>
      </c>
      <c r="C175" s="1" t="n">
        <v>45811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63638-2019</t>
        </is>
      </c>
      <c r="B176" s="1" t="n">
        <v>43795</v>
      </c>
      <c r="C176" s="1" t="n">
        <v>45811</v>
      </c>
      <c r="D176" t="inlineStr">
        <is>
          <t>KRONOBERGS LÄN</t>
        </is>
      </c>
      <c r="E176" t="inlineStr">
        <is>
          <t>ALVESTA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HYPERLINK("https://klasma.github.io/Logging_0764/knärot/A 63638-2019 karta knärot.png", "A 63638-2019")</f>
        <v/>
      </c>
      <c r="V176">
        <f>HYPERLINK("https://klasma.github.io/Logging_0764/klagomål/A 63638-2019 FSC-klagomål.docx", "A 63638-2019")</f>
        <v/>
      </c>
      <c r="W176">
        <f>HYPERLINK("https://klasma.github.io/Logging_0764/klagomålsmail/A 63638-2019 FSC-klagomål mail.docx", "A 63638-2019")</f>
        <v/>
      </c>
      <c r="X176">
        <f>HYPERLINK("https://klasma.github.io/Logging_0764/tillsyn/A 63638-2019 tillsynsbegäran.docx", "A 63638-2019")</f>
        <v/>
      </c>
      <c r="Y176">
        <f>HYPERLINK("https://klasma.github.io/Logging_0764/tillsynsmail/A 63638-2019 tillsynsbegäran mail.docx", "A 63638-2019")</f>
        <v/>
      </c>
    </row>
    <row r="177" ht="15" customHeight="1">
      <c r="A177" t="inlineStr">
        <is>
          <t>A 63633-2019</t>
        </is>
      </c>
      <c r="B177" s="1" t="n">
        <v>43795</v>
      </c>
      <c r="C177" s="1" t="n">
        <v>45811</v>
      </c>
      <c r="D177" t="inlineStr">
        <is>
          <t>KRONOBERGS LÄN</t>
        </is>
      </c>
      <c r="E177" t="inlineStr">
        <is>
          <t>ALVESTA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63631-2019</t>
        </is>
      </c>
      <c r="B178" s="1" t="n">
        <v>43795</v>
      </c>
      <c r="C178" s="1" t="n">
        <v>45811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63639-2019</t>
        </is>
      </c>
      <c r="B179" s="1" t="n">
        <v>43795</v>
      </c>
      <c r="C179" s="1" t="n">
        <v>45811</v>
      </c>
      <c r="D179" t="inlineStr">
        <is>
          <t>KRONOBERGS LÄN</t>
        </is>
      </c>
      <c r="E179" t="inlineStr">
        <is>
          <t>ALVESTA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64570-2019</t>
        </is>
      </c>
      <c r="B180" s="1" t="n">
        <v>43798</v>
      </c>
      <c r="C180" s="1" t="n">
        <v>45811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64875-2019</t>
        </is>
      </c>
      <c r="B181" s="1" t="n">
        <v>43801</v>
      </c>
      <c r="C181" s="1" t="n">
        <v>45811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65297-2019</t>
        </is>
      </c>
      <c r="B182" s="1" t="n">
        <v>43802</v>
      </c>
      <c r="C182" s="1" t="n">
        <v>45811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65300-2019</t>
        </is>
      </c>
      <c r="B183" s="1" t="n">
        <v>43802</v>
      </c>
      <c r="C183" s="1" t="n">
        <v>45811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66189-2019</t>
        </is>
      </c>
      <c r="B184" s="1" t="n">
        <v>43808</v>
      </c>
      <c r="C184" s="1" t="n">
        <v>45811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67908-2019</t>
        </is>
      </c>
      <c r="B185" s="1" t="n">
        <v>43816</v>
      </c>
      <c r="C185" s="1" t="n">
        <v>45811</v>
      </c>
      <c r="D185" t="inlineStr">
        <is>
          <t>KRONOBERGS LÄN</t>
        </is>
      </c>
      <c r="E185" t="inlineStr">
        <is>
          <t>ALVESTA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68262-2019</t>
        </is>
      </c>
      <c r="B186" s="1" t="n">
        <v>43817</v>
      </c>
      <c r="C186" s="1" t="n">
        <v>45811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68263-2019</t>
        </is>
      </c>
      <c r="B187" s="1" t="n">
        <v>43817</v>
      </c>
      <c r="C187" s="1" t="n">
        <v>45811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68261-2019</t>
        </is>
      </c>
      <c r="B188" s="1" t="n">
        <v>43817</v>
      </c>
      <c r="C188" s="1" t="n">
        <v>45811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68652-2019</t>
        </is>
      </c>
      <c r="B189" s="1" t="n">
        <v>43819</v>
      </c>
      <c r="C189" s="1" t="n">
        <v>45811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68664-2019</t>
        </is>
      </c>
      <c r="B190" s="1" t="n">
        <v>43819</v>
      </c>
      <c r="C190" s="1" t="n">
        <v>45811</v>
      </c>
      <c r="D190" t="inlineStr">
        <is>
          <t>KRONOBERGS LÄN</t>
        </is>
      </c>
      <c r="E190" t="inlineStr">
        <is>
          <t>ALVESTA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68993-2019</t>
        </is>
      </c>
      <c r="B191" s="1" t="n">
        <v>43826</v>
      </c>
      <c r="C191" s="1" t="n">
        <v>45811</v>
      </c>
      <c r="D191" t="inlineStr">
        <is>
          <t>KRONOBERGS LÄN</t>
        </is>
      </c>
      <c r="E191" t="inlineStr">
        <is>
          <t>ALVESTA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69003-2019</t>
        </is>
      </c>
      <c r="B192" s="1" t="n">
        <v>43826</v>
      </c>
      <c r="C192" s="1" t="n">
        <v>45811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69004-2019</t>
        </is>
      </c>
      <c r="B193" s="1" t="n">
        <v>43826</v>
      </c>
      <c r="C193" s="1" t="n">
        <v>45811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240-2020</t>
        </is>
      </c>
      <c r="B194" s="1" t="n">
        <v>43835</v>
      </c>
      <c r="C194" s="1" t="n">
        <v>45811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519-2020</t>
        </is>
      </c>
      <c r="B195" s="1" t="n">
        <v>43837</v>
      </c>
      <c r="C195" s="1" t="n">
        <v>45811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635-2020</t>
        </is>
      </c>
      <c r="B196" s="1" t="n">
        <v>43838</v>
      </c>
      <c r="C196" s="1" t="n">
        <v>45811</v>
      </c>
      <c r="D196" t="inlineStr">
        <is>
          <t>KRONOBERGS LÄN</t>
        </is>
      </c>
      <c r="E196" t="inlineStr">
        <is>
          <t>ALVESTA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855-2020</t>
        </is>
      </c>
      <c r="B197" s="1" t="n">
        <v>43839</v>
      </c>
      <c r="C197" s="1" t="n">
        <v>45811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1172-2020</t>
        </is>
      </c>
      <c r="B198" s="1" t="n">
        <v>43840</v>
      </c>
      <c r="C198" s="1" t="n">
        <v>45811</v>
      </c>
      <c r="D198" t="inlineStr">
        <is>
          <t>KRONOBERGS LÄN</t>
        </is>
      </c>
      <c r="E198" t="inlineStr">
        <is>
          <t>ALVESTA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1349-2020</t>
        </is>
      </c>
      <c r="B199" s="1" t="n">
        <v>43843</v>
      </c>
      <c r="C199" s="1" t="n">
        <v>45811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3709-2020</t>
        </is>
      </c>
      <c r="B200" s="1" t="n">
        <v>43853</v>
      </c>
      <c r="C200" s="1" t="n">
        <v>45811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3712-2020</t>
        </is>
      </c>
      <c r="B201" s="1" t="n">
        <v>43853</v>
      </c>
      <c r="C201" s="1" t="n">
        <v>45811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3612-2020</t>
        </is>
      </c>
      <c r="B202" s="1" t="n">
        <v>43853</v>
      </c>
      <c r="C202" s="1" t="n">
        <v>45811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3767-2020</t>
        </is>
      </c>
      <c r="B203" s="1" t="n">
        <v>43854</v>
      </c>
      <c r="C203" s="1" t="n">
        <v>45811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3786-2020</t>
        </is>
      </c>
      <c r="B204" s="1" t="n">
        <v>43854</v>
      </c>
      <c r="C204" s="1" t="n">
        <v>45811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4719-2020</t>
        </is>
      </c>
      <c r="B205" s="1" t="n">
        <v>43858</v>
      </c>
      <c r="C205" s="1" t="n">
        <v>45811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4718-2020</t>
        </is>
      </c>
      <c r="B206" s="1" t="n">
        <v>43858</v>
      </c>
      <c r="C206" s="1" t="n">
        <v>45811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4722-2020</t>
        </is>
      </c>
      <c r="B207" s="1" t="n">
        <v>43858</v>
      </c>
      <c r="C207" s="1" t="n">
        <v>45811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4902-2020</t>
        </is>
      </c>
      <c r="B208" s="1" t="n">
        <v>43859</v>
      </c>
      <c r="C208" s="1" t="n">
        <v>45811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6996-2020</t>
        </is>
      </c>
      <c r="B209" s="1" t="n">
        <v>43868</v>
      </c>
      <c r="C209" s="1" t="n">
        <v>45811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7245-2020</t>
        </is>
      </c>
      <c r="B210" s="1" t="n">
        <v>43871</v>
      </c>
      <c r="C210" s="1" t="n">
        <v>45811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8618-2020</t>
        </is>
      </c>
      <c r="B211" s="1" t="n">
        <v>43878</v>
      </c>
      <c r="C211" s="1" t="n">
        <v>45811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8983-2020</t>
        </is>
      </c>
      <c r="B212" s="1" t="n">
        <v>43879</v>
      </c>
      <c r="C212" s="1" t="n">
        <v>45811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9070-2020</t>
        </is>
      </c>
      <c r="B213" s="1" t="n">
        <v>43879</v>
      </c>
      <c r="C213" s="1" t="n">
        <v>45811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9300-2020</t>
        </is>
      </c>
      <c r="B214" s="1" t="n">
        <v>43880</v>
      </c>
      <c r="C214" s="1" t="n">
        <v>45811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10531-2020</t>
        </is>
      </c>
      <c r="B215" s="1" t="n">
        <v>43886</v>
      </c>
      <c r="C215" s="1" t="n">
        <v>45811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11583-2020</t>
        </is>
      </c>
      <c r="B216" s="1" t="n">
        <v>43893</v>
      </c>
      <c r="C216" s="1" t="n">
        <v>45811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11571-2020</t>
        </is>
      </c>
      <c r="B217" s="1" t="n">
        <v>43893</v>
      </c>
      <c r="C217" s="1" t="n">
        <v>45811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11582-2020</t>
        </is>
      </c>
      <c r="B218" s="1" t="n">
        <v>43893</v>
      </c>
      <c r="C218" s="1" t="n">
        <v>45811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11570-2020</t>
        </is>
      </c>
      <c r="B219" s="1" t="n">
        <v>43893</v>
      </c>
      <c r="C219" s="1" t="n">
        <v>45811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11958-2020</t>
        </is>
      </c>
      <c r="B220" s="1" t="n">
        <v>43894</v>
      </c>
      <c r="C220" s="1" t="n">
        <v>45811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12132-2020</t>
        </is>
      </c>
      <c r="B221" s="1" t="n">
        <v>43895</v>
      </c>
      <c r="C221" s="1" t="n">
        <v>45811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13120-2020</t>
        </is>
      </c>
      <c r="B222" s="1" t="n">
        <v>43901</v>
      </c>
      <c r="C222" s="1" t="n">
        <v>45811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15773-2020</t>
        </is>
      </c>
      <c r="B223" s="1" t="n">
        <v>43915</v>
      </c>
      <c r="C223" s="1" t="n">
        <v>45811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15770-2020</t>
        </is>
      </c>
      <c r="B224" s="1" t="n">
        <v>43915</v>
      </c>
      <c r="C224" s="1" t="n">
        <v>45811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16945-2020</t>
        </is>
      </c>
      <c r="B225" s="1" t="n">
        <v>43921</v>
      </c>
      <c r="C225" s="1" t="n">
        <v>45811</v>
      </c>
      <c r="D225" t="inlineStr">
        <is>
          <t>KRONOBERGS LÄN</t>
        </is>
      </c>
      <c r="E225" t="inlineStr">
        <is>
          <t>ALVESTA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19551-2020</t>
        </is>
      </c>
      <c r="B226" s="1" t="n">
        <v>43941</v>
      </c>
      <c r="C226" s="1" t="n">
        <v>45811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19555-2020</t>
        </is>
      </c>
      <c r="B227" s="1" t="n">
        <v>43941</v>
      </c>
      <c r="C227" s="1" t="n">
        <v>45811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21366-2020</t>
        </is>
      </c>
      <c r="B228" s="1" t="n">
        <v>43955</v>
      </c>
      <c r="C228" s="1" t="n">
        <v>45811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22269-2020</t>
        </is>
      </c>
      <c r="B229" s="1" t="n">
        <v>43962</v>
      </c>
      <c r="C229" s="1" t="n">
        <v>45811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23727-2020</t>
        </is>
      </c>
      <c r="B230" s="1" t="n">
        <v>43970</v>
      </c>
      <c r="C230" s="1" t="n">
        <v>45811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24946-2020</t>
        </is>
      </c>
      <c r="B231" s="1" t="n">
        <v>43979</v>
      </c>
      <c r="C231" s="1" t="n">
        <v>45811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24944-2020</t>
        </is>
      </c>
      <c r="B232" s="1" t="n">
        <v>43979</v>
      </c>
      <c r="C232" s="1" t="n">
        <v>45811</v>
      </c>
      <c r="D232" t="inlineStr">
        <is>
          <t>KRONOBERGS LÄN</t>
        </is>
      </c>
      <c r="E232" t="inlineStr">
        <is>
          <t>ALVESTA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26120-2020</t>
        </is>
      </c>
      <c r="B233" s="1" t="n">
        <v>43985</v>
      </c>
      <c r="C233" s="1" t="n">
        <v>45811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26934-2020</t>
        </is>
      </c>
      <c r="B234" s="1" t="n">
        <v>43990</v>
      </c>
      <c r="C234" s="1" t="n">
        <v>45811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27751-2020</t>
        </is>
      </c>
      <c r="B235" s="1" t="n">
        <v>43992</v>
      </c>
      <c r="C235" s="1" t="n">
        <v>45811</v>
      </c>
      <c r="D235" t="inlineStr">
        <is>
          <t>KRONOBERGS LÄN</t>
        </is>
      </c>
      <c r="E235" t="inlineStr">
        <is>
          <t>ALVESTA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27753-2020</t>
        </is>
      </c>
      <c r="B236" s="1" t="n">
        <v>43992</v>
      </c>
      <c r="C236" s="1" t="n">
        <v>45811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28818-2020</t>
        </is>
      </c>
      <c r="B237" s="1" t="n">
        <v>44000</v>
      </c>
      <c r="C237" s="1" t="n">
        <v>45811</v>
      </c>
      <c r="D237" t="inlineStr">
        <is>
          <t>KRONOBERGS LÄN</t>
        </is>
      </c>
      <c r="E237" t="inlineStr">
        <is>
          <t>ALVESTA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28820-2020</t>
        </is>
      </c>
      <c r="B238" s="1" t="n">
        <v>44000</v>
      </c>
      <c r="C238" s="1" t="n">
        <v>45811</v>
      </c>
      <c r="D238" t="inlineStr">
        <is>
          <t>KRONOBERGS LÄN</t>
        </is>
      </c>
      <c r="E238" t="inlineStr">
        <is>
          <t>ALVESTA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29348-2020</t>
        </is>
      </c>
      <c r="B239" s="1" t="n">
        <v>44000</v>
      </c>
      <c r="C239" s="1" t="n">
        <v>45811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29342-2020</t>
        </is>
      </c>
      <c r="B240" s="1" t="n">
        <v>44000</v>
      </c>
      <c r="C240" s="1" t="n">
        <v>45811</v>
      </c>
      <c r="D240" t="inlineStr">
        <is>
          <t>KRONOBERGS LÄN</t>
        </is>
      </c>
      <c r="E240" t="inlineStr">
        <is>
          <t>ALVESTA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29332-2020</t>
        </is>
      </c>
      <c r="B241" s="1" t="n">
        <v>44000</v>
      </c>
      <c r="C241" s="1" t="n">
        <v>45811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29120-2020</t>
        </is>
      </c>
      <c r="B242" s="1" t="n">
        <v>44004</v>
      </c>
      <c r="C242" s="1" t="n">
        <v>45811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29450-2020</t>
        </is>
      </c>
      <c r="B243" s="1" t="n">
        <v>44004</v>
      </c>
      <c r="C243" s="1" t="n">
        <v>45811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29765-2020</t>
        </is>
      </c>
      <c r="B244" s="1" t="n">
        <v>44005</v>
      </c>
      <c r="C244" s="1" t="n">
        <v>45811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30438-2020</t>
        </is>
      </c>
      <c r="B245" s="1" t="n">
        <v>44007</v>
      </c>
      <c r="C245" s="1" t="n">
        <v>45811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31140-2020</t>
        </is>
      </c>
      <c r="B246" s="1" t="n">
        <v>44012</v>
      </c>
      <c r="C246" s="1" t="n">
        <v>45811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31133-2020</t>
        </is>
      </c>
      <c r="B247" s="1" t="n">
        <v>44012</v>
      </c>
      <c r="C247" s="1" t="n">
        <v>45811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31124-2020</t>
        </is>
      </c>
      <c r="B248" s="1" t="n">
        <v>44012</v>
      </c>
      <c r="C248" s="1" t="n">
        <v>45811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31726-2020</t>
        </is>
      </c>
      <c r="B249" s="1" t="n">
        <v>44014</v>
      </c>
      <c r="C249" s="1" t="n">
        <v>45811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31778-2020</t>
        </is>
      </c>
      <c r="B250" s="1" t="n">
        <v>44014</v>
      </c>
      <c r="C250" s="1" t="n">
        <v>45811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32345-2020</t>
        </is>
      </c>
      <c r="B251" s="1" t="n">
        <v>44016</v>
      </c>
      <c r="C251" s="1" t="n">
        <v>45811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32346-2020</t>
        </is>
      </c>
      <c r="B252" s="1" t="n">
        <v>44016</v>
      </c>
      <c r="C252" s="1" t="n">
        <v>45811</v>
      </c>
      <c r="D252" t="inlineStr">
        <is>
          <t>KRONOBERGS LÄN</t>
        </is>
      </c>
      <c r="E252" t="inlineStr">
        <is>
          <t>ALVESTA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32347-2020</t>
        </is>
      </c>
      <c r="B253" s="1" t="n">
        <v>44016</v>
      </c>
      <c r="C253" s="1" t="n">
        <v>45811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32492-2020</t>
        </is>
      </c>
      <c r="B254" s="1" t="n">
        <v>44018</v>
      </c>
      <c r="C254" s="1" t="n">
        <v>45811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32496-2020</t>
        </is>
      </c>
      <c r="B255" s="1" t="n">
        <v>44018</v>
      </c>
      <c r="C255" s="1" t="n">
        <v>45811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32824-2020</t>
        </is>
      </c>
      <c r="B256" s="1" t="n">
        <v>44018</v>
      </c>
      <c r="C256" s="1" t="n">
        <v>45811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32839-2020</t>
        </is>
      </c>
      <c r="B257" s="1" t="n">
        <v>44018</v>
      </c>
      <c r="C257" s="1" t="n">
        <v>45811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33710-2020</t>
        </is>
      </c>
      <c r="B258" s="1" t="n">
        <v>44022</v>
      </c>
      <c r="C258" s="1" t="n">
        <v>45811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33314-2020</t>
        </is>
      </c>
      <c r="B259" s="1" t="n">
        <v>44022</v>
      </c>
      <c r="C259" s="1" t="n">
        <v>45811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34377-2020</t>
        </is>
      </c>
      <c r="B260" s="1" t="n">
        <v>44032</v>
      </c>
      <c r="C260" s="1" t="n">
        <v>45811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34728-2020</t>
        </is>
      </c>
      <c r="B261" s="1" t="n">
        <v>44035</v>
      </c>
      <c r="C261" s="1" t="n">
        <v>45811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34914-2020</t>
        </is>
      </c>
      <c r="B262" s="1" t="n">
        <v>44036</v>
      </c>
      <c r="C262" s="1" t="n">
        <v>45811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35717-2020</t>
        </is>
      </c>
      <c r="B263" s="1" t="n">
        <v>44046</v>
      </c>
      <c r="C263" s="1" t="n">
        <v>45811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35972-2020</t>
        </is>
      </c>
      <c r="B264" s="1" t="n">
        <v>44047</v>
      </c>
      <c r="C264" s="1" t="n">
        <v>45811</v>
      </c>
      <c r="D264" t="inlineStr">
        <is>
          <t>KRONOBERGS LÄN</t>
        </is>
      </c>
      <c r="E264" t="inlineStr">
        <is>
          <t>ALVESTA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36093-2020</t>
        </is>
      </c>
      <c r="B265" s="1" t="n">
        <v>44048</v>
      </c>
      <c r="C265" s="1" t="n">
        <v>45811</v>
      </c>
      <c r="D265" t="inlineStr">
        <is>
          <t>KRONOBERGS LÄN</t>
        </is>
      </c>
      <c r="E265" t="inlineStr">
        <is>
          <t>ALVESTA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36087-2020</t>
        </is>
      </c>
      <c r="B266" s="1" t="n">
        <v>44048</v>
      </c>
      <c r="C266" s="1" t="n">
        <v>45811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36353-2020</t>
        </is>
      </c>
      <c r="B267" s="1" t="n">
        <v>44049</v>
      </c>
      <c r="C267" s="1" t="n">
        <v>45811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36623-2020</t>
        </is>
      </c>
      <c r="B268" s="1" t="n">
        <v>44050</v>
      </c>
      <c r="C268" s="1" t="n">
        <v>45811</v>
      </c>
      <c r="D268" t="inlineStr">
        <is>
          <t>KRONOBERGS LÄN</t>
        </is>
      </c>
      <c r="E268" t="inlineStr">
        <is>
          <t>ALVESTA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36679-2020</t>
        </is>
      </c>
      <c r="B269" s="1" t="n">
        <v>44051</v>
      </c>
      <c r="C269" s="1" t="n">
        <v>45811</v>
      </c>
      <c r="D269" t="inlineStr">
        <is>
          <t>KRONOBERGS LÄN</t>
        </is>
      </c>
      <c r="E269" t="inlineStr">
        <is>
          <t>ALVESTA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36886-2020</t>
        </is>
      </c>
      <c r="B270" s="1" t="n">
        <v>44053</v>
      </c>
      <c r="C270" s="1" t="n">
        <v>45811</v>
      </c>
      <c r="D270" t="inlineStr">
        <is>
          <t>KRONOBERGS LÄN</t>
        </is>
      </c>
      <c r="E270" t="inlineStr">
        <is>
          <t>ALVESTA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37105-2020</t>
        </is>
      </c>
      <c r="B271" s="1" t="n">
        <v>44054</v>
      </c>
      <c r="C271" s="1" t="n">
        <v>45811</v>
      </c>
      <c r="D271" t="inlineStr">
        <is>
          <t>KRONOBERGS LÄN</t>
        </is>
      </c>
      <c r="E271" t="inlineStr">
        <is>
          <t>ALVESTA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37109-2020</t>
        </is>
      </c>
      <c r="B272" s="1" t="n">
        <v>44054</v>
      </c>
      <c r="C272" s="1" t="n">
        <v>45811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37750-2020</t>
        </is>
      </c>
      <c r="B273" s="1" t="n">
        <v>44056</v>
      </c>
      <c r="C273" s="1" t="n">
        <v>45811</v>
      </c>
      <c r="D273" t="inlineStr">
        <is>
          <t>KRONOBERGS LÄN</t>
        </is>
      </c>
      <c r="E273" t="inlineStr">
        <is>
          <t>ALVESTA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37744-2020</t>
        </is>
      </c>
      <c r="B274" s="1" t="n">
        <v>44056</v>
      </c>
      <c r="C274" s="1" t="n">
        <v>45811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38157-2020</t>
        </is>
      </c>
      <c r="B275" s="1" t="n">
        <v>44060</v>
      </c>
      <c r="C275" s="1" t="n">
        <v>45811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38537-2020</t>
        </is>
      </c>
      <c r="B276" s="1" t="n">
        <v>44061</v>
      </c>
      <c r="C276" s="1" t="n">
        <v>45811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38669-2020</t>
        </is>
      </c>
      <c r="B277" s="1" t="n">
        <v>44061</v>
      </c>
      <c r="C277" s="1" t="n">
        <v>45811</v>
      </c>
      <c r="D277" t="inlineStr">
        <is>
          <t>KRONOBERGS LÄN</t>
        </is>
      </c>
      <c r="E277" t="inlineStr">
        <is>
          <t>ALVESTA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39030-2020</t>
        </is>
      </c>
      <c r="B278" s="1" t="n">
        <v>44062</v>
      </c>
      <c r="C278" s="1" t="n">
        <v>45811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39368-2020</t>
        </is>
      </c>
      <c r="B279" s="1" t="n">
        <v>44064</v>
      </c>
      <c r="C279" s="1" t="n">
        <v>45811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39556-2020</t>
        </is>
      </c>
      <c r="B280" s="1" t="n">
        <v>44064</v>
      </c>
      <c r="C280" s="1" t="n">
        <v>45811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40104-2020</t>
        </is>
      </c>
      <c r="B281" s="1" t="n">
        <v>44067</v>
      </c>
      <c r="C281" s="1" t="n">
        <v>45811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41484-2020</t>
        </is>
      </c>
      <c r="B282" s="1" t="n">
        <v>44074</v>
      </c>
      <c r="C282" s="1" t="n">
        <v>45811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41482-2020</t>
        </is>
      </c>
      <c r="B283" s="1" t="n">
        <v>44074</v>
      </c>
      <c r="C283" s="1" t="n">
        <v>45811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42265-2020</t>
        </is>
      </c>
      <c r="B284" s="1" t="n">
        <v>44076</v>
      </c>
      <c r="C284" s="1" t="n">
        <v>45811</v>
      </c>
      <c r="D284" t="inlineStr">
        <is>
          <t>KRONOBERGS LÄN</t>
        </is>
      </c>
      <c r="E284" t="inlineStr">
        <is>
          <t>ALVESTA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42543-2020</t>
        </is>
      </c>
      <c r="B285" s="1" t="n">
        <v>44077</v>
      </c>
      <c r="C285" s="1" t="n">
        <v>45811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42994-2020</t>
        </is>
      </c>
      <c r="B286" s="1" t="n">
        <v>44078</v>
      </c>
      <c r="C286" s="1" t="n">
        <v>45811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43018-2020</t>
        </is>
      </c>
      <c r="B287" s="1" t="n">
        <v>44078</v>
      </c>
      <c r="C287" s="1" t="n">
        <v>45811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42991-2020</t>
        </is>
      </c>
      <c r="B288" s="1" t="n">
        <v>44078</v>
      </c>
      <c r="C288" s="1" t="n">
        <v>45811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43012-2020</t>
        </is>
      </c>
      <c r="B289" s="1" t="n">
        <v>44078</v>
      </c>
      <c r="C289" s="1" t="n">
        <v>45811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44242-2020</t>
        </is>
      </c>
      <c r="B290" s="1" t="n">
        <v>44084</v>
      </c>
      <c r="C290" s="1" t="n">
        <v>45811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44601-2020</t>
        </is>
      </c>
      <c r="B291" s="1" t="n">
        <v>44085</v>
      </c>
      <c r="C291" s="1" t="n">
        <v>45811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45256-2020</t>
        </is>
      </c>
      <c r="B292" s="1" t="n">
        <v>44089</v>
      </c>
      <c r="C292" s="1" t="n">
        <v>45811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46510-2020</t>
        </is>
      </c>
      <c r="B293" s="1" t="n">
        <v>44095</v>
      </c>
      <c r="C293" s="1" t="n">
        <v>45811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49950-2020</t>
        </is>
      </c>
      <c r="B294" s="1" t="n">
        <v>44109</v>
      </c>
      <c r="C294" s="1" t="n">
        <v>45811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50747-2020</t>
        </is>
      </c>
      <c r="B295" s="1" t="n">
        <v>44111</v>
      </c>
      <c r="C295" s="1" t="n">
        <v>45811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51614-2020</t>
        </is>
      </c>
      <c r="B296" s="1" t="n">
        <v>44113</v>
      </c>
      <c r="C296" s="1" t="n">
        <v>45811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51772-2020</t>
        </is>
      </c>
      <c r="B297" s="1" t="n">
        <v>44115</v>
      </c>
      <c r="C297" s="1" t="n">
        <v>45811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51771-2020</t>
        </is>
      </c>
      <c r="B298" s="1" t="n">
        <v>44115</v>
      </c>
      <c r="C298" s="1" t="n">
        <v>45811</v>
      </c>
      <c r="D298" t="inlineStr">
        <is>
          <t>KRONOBERGS LÄN</t>
        </is>
      </c>
      <c r="E298" t="inlineStr">
        <is>
          <t>ALVESTA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51931-2020</t>
        </is>
      </c>
      <c r="B299" s="1" t="n">
        <v>44116</v>
      </c>
      <c r="C299" s="1" t="n">
        <v>45811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52082-2020</t>
        </is>
      </c>
      <c r="B300" s="1" t="n">
        <v>44117</v>
      </c>
      <c r="C300" s="1" t="n">
        <v>45811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53325-2020</t>
        </is>
      </c>
      <c r="B301" s="1" t="n">
        <v>44123</v>
      </c>
      <c r="C301" s="1" t="n">
        <v>45811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53553-2020</t>
        </is>
      </c>
      <c r="B302" s="1" t="n">
        <v>44124</v>
      </c>
      <c r="C302" s="1" t="n">
        <v>45811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53547-2020</t>
        </is>
      </c>
      <c r="B303" s="1" t="n">
        <v>44124</v>
      </c>
      <c r="C303" s="1" t="n">
        <v>45811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53546-2020</t>
        </is>
      </c>
      <c r="B304" s="1" t="n">
        <v>44124</v>
      </c>
      <c r="C304" s="1" t="n">
        <v>45811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54146-2020</t>
        </is>
      </c>
      <c r="B305" s="1" t="n">
        <v>44125</v>
      </c>
      <c r="C305" s="1" t="n">
        <v>45811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56396-2020</t>
        </is>
      </c>
      <c r="B306" s="1" t="n">
        <v>44137</v>
      </c>
      <c r="C306" s="1" t="n">
        <v>45811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57870-2020</t>
        </is>
      </c>
      <c r="B307" s="1" t="n">
        <v>44141</v>
      </c>
      <c r="C307" s="1" t="n">
        <v>45811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57853-2020</t>
        </is>
      </c>
      <c r="B308" s="1" t="n">
        <v>44141</v>
      </c>
      <c r="C308" s="1" t="n">
        <v>45811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58059-2020</t>
        </is>
      </c>
      <c r="B309" s="1" t="n">
        <v>44144</v>
      </c>
      <c r="C309" s="1" t="n">
        <v>45811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59178-2020</t>
        </is>
      </c>
      <c r="B310" s="1" t="n">
        <v>44147</v>
      </c>
      <c r="C310" s="1" t="n">
        <v>45811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59688-2020</t>
        </is>
      </c>
      <c r="B311" s="1" t="n">
        <v>44151</v>
      </c>
      <c r="C311" s="1" t="n">
        <v>45811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59681-2020</t>
        </is>
      </c>
      <c r="B312" s="1" t="n">
        <v>44151</v>
      </c>
      <c r="C312" s="1" t="n">
        <v>45811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60655-2020</t>
        </is>
      </c>
      <c r="B313" s="1" t="n">
        <v>44153</v>
      </c>
      <c r="C313" s="1" t="n">
        <v>45811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62419-2020</t>
        </is>
      </c>
      <c r="B314" s="1" t="n">
        <v>44159</v>
      </c>
      <c r="C314" s="1" t="n">
        <v>45811</v>
      </c>
      <c r="D314" t="inlineStr">
        <is>
          <t>KRONOBERGS LÄN</t>
        </is>
      </c>
      <c r="E314" t="inlineStr">
        <is>
          <t>ALVESTA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62427-2020</t>
        </is>
      </c>
      <c r="B315" s="1" t="n">
        <v>44159</v>
      </c>
      <c r="C315" s="1" t="n">
        <v>45811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63355-2020</t>
        </is>
      </c>
      <c r="B316" s="1" t="n">
        <v>44165</v>
      </c>
      <c r="C316" s="1" t="n">
        <v>45811</v>
      </c>
      <c r="D316" t="inlineStr">
        <is>
          <t>KRONOBERGS LÄN</t>
        </is>
      </c>
      <c r="E316" t="inlineStr">
        <is>
          <t>ALVESTA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63381-2020</t>
        </is>
      </c>
      <c r="B317" s="1" t="n">
        <v>44165</v>
      </c>
      <c r="C317" s="1" t="n">
        <v>45811</v>
      </c>
      <c r="D317" t="inlineStr">
        <is>
          <t>KRONOBERGS LÄN</t>
        </is>
      </c>
      <c r="E317" t="inlineStr">
        <is>
          <t>ALVESTA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63386-2020</t>
        </is>
      </c>
      <c r="B318" s="1" t="n">
        <v>44165</v>
      </c>
      <c r="C318" s="1" t="n">
        <v>45811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65213-2020</t>
        </is>
      </c>
      <c r="B319" s="1" t="n">
        <v>44172</v>
      </c>
      <c r="C319" s="1" t="n">
        <v>45811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65798-2020</t>
        </is>
      </c>
      <c r="B320" s="1" t="n">
        <v>44174</v>
      </c>
      <c r="C320" s="1" t="n">
        <v>45811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65875-2020</t>
        </is>
      </c>
      <c r="B321" s="1" t="n">
        <v>44174</v>
      </c>
      <c r="C321" s="1" t="n">
        <v>45811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66026-2020</t>
        </is>
      </c>
      <c r="B322" s="1" t="n">
        <v>44175</v>
      </c>
      <c r="C322" s="1" t="n">
        <v>45811</v>
      </c>
      <c r="D322" t="inlineStr">
        <is>
          <t>KRONOBERGS LÄN</t>
        </is>
      </c>
      <c r="E322" t="inlineStr">
        <is>
          <t>ALVESTA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66029-2020</t>
        </is>
      </c>
      <c r="B323" s="1" t="n">
        <v>44175</v>
      </c>
      <c r="C323" s="1" t="n">
        <v>45811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67927-2020</t>
        </is>
      </c>
      <c r="B324" s="1" t="n">
        <v>44182</v>
      </c>
      <c r="C324" s="1" t="n">
        <v>45811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68343-2020</t>
        </is>
      </c>
      <c r="B325" s="1" t="n">
        <v>44186</v>
      </c>
      <c r="C325" s="1" t="n">
        <v>45811</v>
      </c>
      <c r="D325" t="inlineStr">
        <is>
          <t>KRONOBERGS LÄN</t>
        </is>
      </c>
      <c r="E325" t="inlineStr">
        <is>
          <t>ALVESTA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68541-2020</t>
        </is>
      </c>
      <c r="B326" s="1" t="n">
        <v>44186</v>
      </c>
      <c r="C326" s="1" t="n">
        <v>45811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69127-2020</t>
        </is>
      </c>
      <c r="B327" s="1" t="n">
        <v>44188</v>
      </c>
      <c r="C327" s="1" t="n">
        <v>45811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165-2021</t>
        </is>
      </c>
      <c r="B328" s="1" t="n">
        <v>44200</v>
      </c>
      <c r="C328" s="1" t="n">
        <v>45811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186-2021</t>
        </is>
      </c>
      <c r="B329" s="1" t="n">
        <v>44200</v>
      </c>
      <c r="C329" s="1" t="n">
        <v>45811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926-2021</t>
        </is>
      </c>
      <c r="B330" s="1" t="n">
        <v>44207</v>
      </c>
      <c r="C330" s="1" t="n">
        <v>45811</v>
      </c>
      <c r="D330" t="inlineStr">
        <is>
          <t>KRONOBERGS LÄN</t>
        </is>
      </c>
      <c r="E330" t="inlineStr">
        <is>
          <t>ALVESTA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1981-2021</t>
        </is>
      </c>
      <c r="B331" s="1" t="n">
        <v>44210</v>
      </c>
      <c r="C331" s="1" t="n">
        <v>45811</v>
      </c>
      <c r="D331" t="inlineStr">
        <is>
          <t>KRONOBERGS LÄN</t>
        </is>
      </c>
      <c r="E331" t="inlineStr">
        <is>
          <t>ALVESTA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2146-2021</t>
        </is>
      </c>
      <c r="B332" s="1" t="n">
        <v>44211</v>
      </c>
      <c r="C332" s="1" t="n">
        <v>45811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2906-2021</t>
        </is>
      </c>
      <c r="B333" s="1" t="n">
        <v>44216</v>
      </c>
      <c r="C333" s="1" t="n">
        <v>45811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3083-2021</t>
        </is>
      </c>
      <c r="B334" s="1" t="n">
        <v>44216</v>
      </c>
      <c r="C334" s="1" t="n">
        <v>45811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3819-2021</t>
        </is>
      </c>
      <c r="B335" s="1" t="n">
        <v>44222</v>
      </c>
      <c r="C335" s="1" t="n">
        <v>45811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6052-2021</t>
        </is>
      </c>
      <c r="B336" s="1" t="n">
        <v>44232</v>
      </c>
      <c r="C336" s="1" t="n">
        <v>45811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6670-2021</t>
        </is>
      </c>
      <c r="B337" s="1" t="n">
        <v>44236</v>
      </c>
      <c r="C337" s="1" t="n">
        <v>45811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6662-2021</t>
        </is>
      </c>
      <c r="B338" s="1" t="n">
        <v>44236</v>
      </c>
      <c r="C338" s="1" t="n">
        <v>45811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7343-2021</t>
        </is>
      </c>
      <c r="B339" s="1" t="n">
        <v>44238</v>
      </c>
      <c r="C339" s="1" t="n">
        <v>45811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7465-2021</t>
        </is>
      </c>
      <c r="B340" s="1" t="n">
        <v>44239</v>
      </c>
      <c r="C340" s="1" t="n">
        <v>45811</v>
      </c>
      <c r="D340" t="inlineStr">
        <is>
          <t>KRONOBERGS LÄN</t>
        </is>
      </c>
      <c r="E340" t="inlineStr">
        <is>
          <t>ALVESTA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8094-2021</t>
        </is>
      </c>
      <c r="B341" s="1" t="n">
        <v>44243</v>
      </c>
      <c r="C341" s="1" t="n">
        <v>45811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7949-2021</t>
        </is>
      </c>
      <c r="B342" s="1" t="n">
        <v>44243</v>
      </c>
      <c r="C342" s="1" t="n">
        <v>45811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8929-2021</t>
        </is>
      </c>
      <c r="B343" s="1" t="n">
        <v>44249</v>
      </c>
      <c r="C343" s="1" t="n">
        <v>45811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9644-2021</t>
        </is>
      </c>
      <c r="B344" s="1" t="n">
        <v>44252</v>
      </c>
      <c r="C344" s="1" t="n">
        <v>45811</v>
      </c>
      <c r="D344" t="inlineStr">
        <is>
          <t>KRONOBERGS LÄN</t>
        </is>
      </c>
      <c r="E344" t="inlineStr">
        <is>
          <t>ALVESTA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10272-2021</t>
        </is>
      </c>
      <c r="B345" s="1" t="n">
        <v>44256</v>
      </c>
      <c r="C345" s="1" t="n">
        <v>45811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10273-2021</t>
        </is>
      </c>
      <c r="B346" s="1" t="n">
        <v>44256</v>
      </c>
      <c r="C346" s="1" t="n">
        <v>45811</v>
      </c>
      <c r="D346" t="inlineStr">
        <is>
          <t>KRONOBERGS LÄN</t>
        </is>
      </c>
      <c r="E346" t="inlineStr">
        <is>
          <t>ALVESTA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10319-2021</t>
        </is>
      </c>
      <c r="B347" s="1" t="n">
        <v>44257</v>
      </c>
      <c r="C347" s="1" t="n">
        <v>45811</v>
      </c>
      <c r="D347" t="inlineStr">
        <is>
          <t>KRONOBERGS LÄN</t>
        </is>
      </c>
      <c r="E347" t="inlineStr">
        <is>
          <t>ALVESTA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10428-2021</t>
        </is>
      </c>
      <c r="B348" s="1" t="n">
        <v>44257</v>
      </c>
      <c r="C348" s="1" t="n">
        <v>45811</v>
      </c>
      <c r="D348" t="inlineStr">
        <is>
          <t>KRONOBERGS LÄN</t>
        </is>
      </c>
      <c r="E348" t="inlineStr">
        <is>
          <t>ALVESTA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11547-2021</t>
        </is>
      </c>
      <c r="B349" s="1" t="n">
        <v>44264</v>
      </c>
      <c r="C349" s="1" t="n">
        <v>45811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12838-2021</t>
        </is>
      </c>
      <c r="B350" s="1" t="n">
        <v>44271</v>
      </c>
      <c r="C350" s="1" t="n">
        <v>45811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16313-2021</t>
        </is>
      </c>
      <c r="B351" s="1" t="n">
        <v>44292</v>
      </c>
      <c r="C351" s="1" t="n">
        <v>45811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16399-2021</t>
        </is>
      </c>
      <c r="B352" s="1" t="n">
        <v>44293</v>
      </c>
      <c r="C352" s="1" t="n">
        <v>45811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16965-2021</t>
        </is>
      </c>
      <c r="B353" s="1" t="n">
        <v>44295</v>
      </c>
      <c r="C353" s="1" t="n">
        <v>45811</v>
      </c>
      <c r="D353" t="inlineStr">
        <is>
          <t>KRONOBERGS LÄN</t>
        </is>
      </c>
      <c r="E353" t="inlineStr">
        <is>
          <t>ALVESTA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16800-2021</t>
        </is>
      </c>
      <c r="B354" s="1" t="n">
        <v>44295</v>
      </c>
      <c r="C354" s="1" t="n">
        <v>45811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18568-2021</t>
        </is>
      </c>
      <c r="B355" s="1" t="n">
        <v>44305</v>
      </c>
      <c r="C355" s="1" t="n">
        <v>45811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18632-2021</t>
        </is>
      </c>
      <c r="B356" s="1" t="n">
        <v>44306</v>
      </c>
      <c r="C356" s="1" t="n">
        <v>45811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18605-2021</t>
        </is>
      </c>
      <c r="B357" s="1" t="n">
        <v>44306</v>
      </c>
      <c r="C357" s="1" t="n">
        <v>45811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18639-2021</t>
        </is>
      </c>
      <c r="B358" s="1" t="n">
        <v>44306</v>
      </c>
      <c r="C358" s="1" t="n">
        <v>45811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18822-2021</t>
        </is>
      </c>
      <c r="B359" s="1" t="n">
        <v>44307</v>
      </c>
      <c r="C359" s="1" t="n">
        <v>45811</v>
      </c>
      <c r="D359" t="inlineStr">
        <is>
          <t>KRONOBERGS LÄN</t>
        </is>
      </c>
      <c r="E359" t="inlineStr">
        <is>
          <t>ALVESTA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19330-2021</t>
        </is>
      </c>
      <c r="B360" s="1" t="n">
        <v>44309</v>
      </c>
      <c r="C360" s="1" t="n">
        <v>45811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19336-2021</t>
        </is>
      </c>
      <c r="B361" s="1" t="n">
        <v>44309</v>
      </c>
      <c r="C361" s="1" t="n">
        <v>45811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19907-2021</t>
        </is>
      </c>
      <c r="B362" s="1" t="n">
        <v>44313</v>
      </c>
      <c r="C362" s="1" t="n">
        <v>45811</v>
      </c>
      <c r="D362" t="inlineStr">
        <is>
          <t>KRONOBERGS LÄN</t>
        </is>
      </c>
      <c r="E362" t="inlineStr">
        <is>
          <t>ALVESTA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20028-2021</t>
        </is>
      </c>
      <c r="B363" s="1" t="n">
        <v>44313</v>
      </c>
      <c r="C363" s="1" t="n">
        <v>45811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21173-2021</t>
        </is>
      </c>
      <c r="B364" s="1" t="n">
        <v>44320</v>
      </c>
      <c r="C364" s="1" t="n">
        <v>45811</v>
      </c>
      <c r="D364" t="inlineStr">
        <is>
          <t>KRONOBERGS LÄN</t>
        </is>
      </c>
      <c r="E364" t="inlineStr">
        <is>
          <t>ALVESTA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22085-2021</t>
        </is>
      </c>
      <c r="B365" s="1" t="n">
        <v>44323</v>
      </c>
      <c r="C365" s="1" t="n">
        <v>45811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22735-2021</t>
        </is>
      </c>
      <c r="B366" s="1" t="n">
        <v>44323</v>
      </c>
      <c r="C366" s="1" t="n">
        <v>45811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22218-2021</t>
        </is>
      </c>
      <c r="B367" s="1" t="n">
        <v>44326</v>
      </c>
      <c r="C367" s="1" t="n">
        <v>45811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22857-2021</t>
        </is>
      </c>
      <c r="B368" s="1" t="n">
        <v>44328</v>
      </c>
      <c r="C368" s="1" t="n">
        <v>45811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23852-2021</t>
        </is>
      </c>
      <c r="B369" s="1" t="n">
        <v>44335</v>
      </c>
      <c r="C369" s="1" t="n">
        <v>45811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24090-2021</t>
        </is>
      </c>
      <c r="B370" s="1" t="n">
        <v>44336</v>
      </c>
      <c r="C370" s="1" t="n">
        <v>45811</v>
      </c>
      <c r="D370" t="inlineStr">
        <is>
          <t>KRONOBERGS LÄN</t>
        </is>
      </c>
      <c r="E370" t="inlineStr">
        <is>
          <t>ALVESTA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45811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45811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45811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45811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45811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45811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45811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45811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45811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45811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45811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45811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45811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45811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45811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45811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45811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45811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45811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45811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45811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45811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45811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45811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45811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45811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45811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45811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45811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45811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45811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45811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45811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45811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45811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45811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45811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45811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45811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45811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45811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45811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45811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45811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45811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45811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45811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45811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45811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45811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45811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45811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45811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45811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45811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45811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45811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45811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45811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45811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45811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45811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45811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45811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45811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45811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45811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45811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45811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45811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45811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45811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45811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45811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45811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45811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45811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45811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45811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45811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45811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45811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45811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45811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45811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45811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45811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45811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45811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45811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45811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45811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45811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45811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45811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45811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45811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45811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45811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45811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45811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45811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45811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45811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45811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45811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45811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45811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45811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45811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45811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45811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45811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45811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45811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45811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45811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45811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45811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45811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45811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45811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45811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45811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45811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45811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45811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45811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45811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45811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45811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45811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45811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45811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45811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45811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45811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45811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45811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45811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45811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45811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45811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45811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45811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45811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45811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45811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45811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45811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45811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45811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45811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45811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45811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45811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45811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45811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45811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45811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45811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45811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45811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45811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45811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45811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45811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45811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45811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45811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45811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45811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45811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45811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45811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45811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45811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45811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45811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45811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45811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45811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45811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45811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45811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45811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45811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45811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45811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45811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45811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45811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45811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45811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45811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45811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45811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45811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45811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45811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45811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45811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45811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45811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45811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45811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45811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45811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45811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45811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45811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45811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45811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45811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45811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45811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45811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45811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45811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45811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45811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45811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45811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45811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45811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45811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45811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45811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45811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45811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45811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45811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45811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45811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45811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45811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45811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45811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45811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45811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45811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45811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45811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45811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45811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45811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45811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45811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45811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45811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45811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45811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45811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45811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45811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45811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45811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45811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45811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45811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45811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45811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45811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45811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45811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45811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45811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45811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45811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45811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45811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45811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45811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45811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45811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45811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45811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45811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45811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45811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45811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45811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45811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45811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45811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45811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45811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45811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45811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45811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45811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45811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45811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45811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45811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45811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45811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45811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45811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45811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45811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45811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45811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45811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45811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45811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45811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45811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45811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45811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45811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45811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45811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45811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45811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45811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45811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45811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45811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45811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45811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45811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45811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45811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45811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45811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45811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45811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45811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45811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45811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45811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45811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45811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45811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45811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45811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45811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45811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45811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45811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45811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45811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45811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45811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45811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45811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45811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45811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45811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45811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45811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45811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45811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45811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45811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45811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45811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45811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45811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45811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45811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45811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45811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45811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45811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45811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45811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45811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45811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45811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45811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45811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45811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45811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45811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45811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45811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45811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45811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45811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45811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45811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45811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45811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45811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45811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45811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45811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45811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45811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45811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45811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45811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45811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45811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45811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45811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45811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45811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45811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45811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45811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45811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45811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45811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45811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45811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45811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45811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45811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45811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45811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45811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45811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45811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45811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45811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45811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45811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45811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45811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45811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45811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45811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45811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45811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45811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45811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45811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45811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45811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45811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45811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45811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45811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45811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45811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45811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45811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45811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45811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45811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45811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45811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45811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45811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45811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45811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45811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45811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45811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45811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45811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45811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45811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45811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45811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45811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45811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45811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45811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45811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45811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45811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45811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45811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45811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45811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45811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45811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45811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45811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45811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45811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45811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45811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45811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45811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45811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45811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45811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45811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45811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45811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45811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45811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45811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45811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45811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45811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45811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45811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45811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45811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45811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45811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45811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45811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45811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45811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45811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45811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45811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45811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45811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45811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45811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45811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45811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45811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45811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45811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45811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45811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45811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45811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45811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45811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45811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45811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45811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45811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45811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45811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45811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45811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45811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45811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45811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45811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45811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45811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45811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45811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45811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45811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45811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45811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45811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45811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45811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45811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45811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45811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45811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45811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45811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45811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45811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45811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45811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45811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45811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45811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45811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45811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45811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45811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45811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45811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45811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45811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45811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45811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45811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45811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45811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45811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45811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45811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45811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45811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45811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45811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45811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45811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45811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45811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45811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45811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45811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45811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45811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45811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45811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45811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45811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45811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45811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45811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45811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45811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45811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45811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45811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45811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45811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45811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45811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45811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45811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45811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45811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45811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45811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45811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45811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45811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45811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45811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45811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45811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45811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45811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45811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45811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45811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45811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45811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45811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45811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45811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45811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45811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45811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45811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45811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45811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45811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45811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45811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45811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45811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45811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45811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45811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45811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45811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45811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45811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45811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45811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45811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45811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45811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45811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45811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45811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45811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45811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45811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45811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45811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45811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45811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45811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45811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45811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45811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45811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45811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45811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45811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45811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45811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45811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45811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45811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45811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45811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45811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45811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45811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45811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45811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45811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45811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45811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45811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45811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45811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45811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45811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45811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45811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45811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45811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45811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45811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45811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45811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45811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45811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45811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45811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45811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45811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45811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45811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45811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45811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45811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45811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45811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45811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45811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45811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45811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45811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45811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45811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45811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45811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45811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45811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45811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45811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45811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45811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45811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45811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45811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45811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45811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45811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45811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45811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45811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45811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45811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45811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45811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45811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45811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45811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45811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45811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45811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45811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45811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45811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45811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45811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45811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45811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45811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45811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45811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45811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45811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45811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45811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45811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45811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45811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45811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45811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45811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45811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45811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45811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45811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45811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45811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45811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45811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45811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45811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45811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45811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45811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45811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45811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45811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45811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45811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45811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45811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45811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45811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45811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45811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45811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45811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45811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45811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45811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45811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45811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45811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45811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45811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45811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45811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45811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45811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45811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45811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45811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45811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45811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45811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45811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45811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45811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45811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45811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45811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45811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45811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45811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45811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45811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45811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45811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45811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45811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45811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45811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45811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45811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45811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45811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45811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45811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45811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45811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45811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45811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45811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45811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45811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45811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45811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45811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45811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45811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45811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45811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45811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45811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45811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45811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45811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45811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45811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45811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45811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45811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45811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45811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45811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45811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45811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45811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45811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45811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45811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45811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45811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45811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45811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45811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45811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45811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45811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24167-2025</t>
        </is>
      </c>
      <c r="B1238" s="1" t="n">
        <v>45796</v>
      </c>
      <c r="C1238" s="1" t="n">
        <v>45811</v>
      </c>
      <c r="D1238" t="inlineStr">
        <is>
          <t>KRONOBERGS LÄN</t>
        </is>
      </c>
      <c r="E1238" t="inlineStr">
        <is>
          <t>ALVESTA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24168-2025</t>
        </is>
      </c>
      <c r="B1239" s="1" t="n">
        <v>45796</v>
      </c>
      <c r="C1239" s="1" t="n">
        <v>45811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24175-2025</t>
        </is>
      </c>
      <c r="B1240" s="1" t="n">
        <v>45796</v>
      </c>
      <c r="C1240" s="1" t="n">
        <v>45811</v>
      </c>
      <c r="D1240" t="inlineStr">
        <is>
          <t>KRONOBERGS LÄN</t>
        </is>
      </c>
      <c r="E1240" t="inlineStr">
        <is>
          <t>ALVESTA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45811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25339-2025</t>
        </is>
      </c>
      <c r="B1242" s="1" t="n">
        <v>45800</v>
      </c>
      <c r="C1242" s="1" t="n">
        <v>45811</v>
      </c>
      <c r="D1242" t="inlineStr">
        <is>
          <t>KRONOBERGS LÄN</t>
        </is>
      </c>
      <c r="E1242" t="inlineStr">
        <is>
          <t>ALVESTA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25387-2025</t>
        </is>
      </c>
      <c r="B1243" s="1" t="n">
        <v>45800</v>
      </c>
      <c r="C1243" s="1" t="n">
        <v>45811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25393-2025</t>
        </is>
      </c>
      <c r="B1244" s="1" t="n">
        <v>45800</v>
      </c>
      <c r="C1244" s="1" t="n">
        <v>45811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25904-2025</t>
        </is>
      </c>
      <c r="B1245" s="1" t="n">
        <v>45804</v>
      </c>
      <c r="C1245" s="1" t="n">
        <v>45811</v>
      </c>
      <c r="D1245" t="inlineStr">
        <is>
          <t>KRONOBERGS LÄN</t>
        </is>
      </c>
      <c r="E1245" t="inlineStr">
        <is>
          <t>ALVESTA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26236-2025</t>
        </is>
      </c>
      <c r="B1246" s="1" t="n">
        <v>45805</v>
      </c>
      <c r="C1246" s="1" t="n">
        <v>45811</v>
      </c>
      <c r="D1246" t="inlineStr">
        <is>
          <t>KRONOBERGS LÄN</t>
        </is>
      </c>
      <c r="E1246" t="inlineStr">
        <is>
          <t>ALVESTA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26241-2025</t>
        </is>
      </c>
      <c r="B1247" s="1" t="n">
        <v>45805</v>
      </c>
      <c r="C1247" s="1" t="n">
        <v>45811</v>
      </c>
      <c r="D1247" t="inlineStr">
        <is>
          <t>KRONOBERGS LÄN</t>
        </is>
      </c>
      <c r="E1247" t="inlineStr">
        <is>
          <t>ALVESTA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26420-2025</t>
        </is>
      </c>
      <c r="B1248" s="1" t="n">
        <v>45807</v>
      </c>
      <c r="C1248" s="1" t="n">
        <v>45811</v>
      </c>
      <c r="D1248" t="inlineStr">
        <is>
          <t>KRONOBERGS LÄN</t>
        </is>
      </c>
      <c r="E1248" t="inlineStr">
        <is>
          <t>ALVESTA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45811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>
      <c r="A1250" t="inlineStr">
        <is>
          <t>A 26808-2025</t>
        </is>
      </c>
      <c r="B1250" s="1" t="n">
        <v>45810</v>
      </c>
      <c r="C1250" s="1" t="n">
        <v>45811</v>
      </c>
      <c r="D1250" t="inlineStr">
        <is>
          <t>KRONOBERGS LÄN</t>
        </is>
      </c>
      <c r="E1250" t="inlineStr">
        <is>
          <t>ALVESTA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2025-06-03T18:07:53Z</dcterms:created>
  <dcterms:modified xmlns:dcterms="http://purl.org/dc/terms/" xmlns:xsi="http://www.w3.org/2001/XMLSchema-instance" xsi:type="dcterms:W3CDTF">2025-06-03T18:07:54Z</dcterms:modified>
</cp:coreProperties>
</file>