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46307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46307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46307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46307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46307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46307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46307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46307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46307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46307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46307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46307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46307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46307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46307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46307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46307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46307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46307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6812-2024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45342</v>
      </c>
      <c r="E21" s="1" t="n">
        <v>46307</v>
      </c>
      <c r="F21" t="inlineStr">
        <is>
          <t>KRONOBERGS LÄN</t>
        </is>
      </c>
      <c r="G21" t="inlineStr">
        <is>
          <t>ALVESTA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Trana</t>
        </is>
      </c>
      <c r="W21">
        <f>HYPERLINK("https://klasma.github.io/Logging_0764/artfynd/A 6812-2024 artfynd.xlsx", "A 6812-2024")</f>
        <v/>
      </c>
      <c r="X21">
        <f>HYPERLINK("https://klasma.github.io/Logging_0764/kartor/A 6812-2024 karta.png", "A 6812-2024")</f>
        <v/>
      </c>
      <c r="Y21">
        <f>HYPERLINK("https://klasma.github.io/Logging_0764/kartor_geotiff/A 6812-2024 georefererad karta.tif", "A 6812-2024")</f>
        <v/>
      </c>
      <c r="AA21">
        <f>HYPERLINK("https://klasma.github.io/Logging_0764/klagomål/A 6812-2024 FSC-klagomål.docx", "A 6812-2024")</f>
        <v/>
      </c>
      <c r="AB21">
        <f>HYPERLINK("https://klasma.github.io/Logging_0764/klagomålsmail/A 6812-2024 FSC-klagomål mail.docx", "A 6812-2024")</f>
        <v/>
      </c>
      <c r="AC21">
        <f>HYPERLINK("https://klasma.github.io/Logging_0764/tillsyn/A 6812-2024 tillsynsbegäran.docx", "A 6812-2024")</f>
        <v/>
      </c>
      <c r="AD21">
        <f>HYPERLINK("https://klasma.github.io/Logging_0764/tillsynsmail/A 6812-2024 tillsynsbegäran mail.docx", "A 6812-2024")</f>
        <v/>
      </c>
      <c r="AE21">
        <f>HYPERLINK("https://klasma.github.io/Logging_0764/fåglar/A 6812-2024 prioriterade fågelarter.docx", "A 6812-2024")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46307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9407-2024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46307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Småvaxing
Toppvaxing</t>
        </is>
      </c>
      <c r="W23">
        <f>HYPERLINK("https://klasma.github.io/Logging_0764/artfynd/A 9407-2024 artfynd.xlsx", "A 9407-2024")</f>
        <v/>
      </c>
      <c r="X23">
        <f>HYPERLINK("https://klasma.github.io/Logging_0764/kartor/A 9407-2024 karta.png", "A 9407-2024")</f>
        <v/>
      </c>
      <c r="Y23">
        <f>HYPERLINK("https://klasma.github.io/Logging_0764/kartor_geotiff/A 9407-2024 georefererad karta.tif", "A 9407-2024")</f>
        <v/>
      </c>
      <c r="AA23">
        <f>HYPERLINK("https://klasma.github.io/Logging_0764/klagomål/A 9407-2024 FSC-klagomål.docx", "A 9407-2024")</f>
        <v/>
      </c>
      <c r="AB23">
        <f>HYPERLINK("https://klasma.github.io/Logging_0764/klagomålsmail/A 9407-2024 FSC-klagomål mail.docx", "A 9407-2024")</f>
        <v/>
      </c>
      <c r="AC23">
        <f>HYPERLINK("https://klasma.github.io/Logging_0764/tillsyn/A 9407-2024 tillsynsbegäran.docx", "A 9407-2024")</f>
        <v/>
      </c>
      <c r="AD23">
        <f>HYPERLINK("https://klasma.github.io/Logging_0764/tillsynsmail/A 9407-2024 tillsynsbegäran mail.docx", "A 9407-2024")</f>
        <v/>
      </c>
    </row>
    <row r="24" ht="15" customHeight="1">
      <c r="A24" t="inlineStr">
        <is>
          <t>A 1811-2025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46307</v>
      </c>
      <c r="F24" t="inlineStr">
        <is>
          <t>KRONOBERGS LÄN</t>
        </is>
      </c>
      <c r="G24" t="inlineStr">
        <is>
          <t>ALVESTA</t>
        </is>
      </c>
      <c r="H24" t="inlineStr">
        <is>
          <t>Kyrkan</t>
        </is>
      </c>
      <c r="I24" t="n">
        <v>2.3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Blomkålssvamp
Spillkråka</t>
        </is>
      </c>
      <c r="W24">
        <f>HYPERLINK("https://klasma.github.io/Logging_0764/artfynd/A 1811-2025 artfynd.xlsx", "A 1811-2025")</f>
        <v/>
      </c>
      <c r="X24">
        <f>HYPERLINK("https://klasma.github.io/Logging_0764/kartor/A 1811-2025 karta.png", "A 1811-2025")</f>
        <v/>
      </c>
      <c r="Y24">
        <f>HYPERLINK("https://klasma.github.io/Logging_0764/kartor_geotiff/A 1811-2025 georefererad karta.tif", "A 1811-2025")</f>
        <v/>
      </c>
      <c r="AA24">
        <f>HYPERLINK("https://klasma.github.io/Logging_0764/klagomål/A 1811-2025 FSC-klagomål.docx", "A 1811-2025")</f>
        <v/>
      </c>
      <c r="AB24">
        <f>HYPERLINK("https://klasma.github.io/Logging_0764/klagomålsmail/A 1811-2025 FSC-klagomål mail.docx", "A 1811-2025")</f>
        <v/>
      </c>
      <c r="AC24">
        <f>HYPERLINK("https://klasma.github.io/Logging_0764/tillsyn/A 1811-2025 tillsynsbegäran.docx", "A 1811-2025")</f>
        <v/>
      </c>
      <c r="AD24">
        <f>HYPERLINK("https://klasma.github.io/Logging_0764/tillsynsmail/A 1811-2025 tillsynsbegäran mail.docx", "A 1811-2025")</f>
        <v/>
      </c>
      <c r="AE24">
        <f>HYPERLINK("https://klasma.github.io/Logging_0764/fåglar/A 1811-2025 prioriterade fågelarter.docx", "A 1811-2025")</f>
        <v/>
      </c>
    </row>
    <row r="25" ht="15" customHeight="1">
      <c r="A25" t="inlineStr">
        <is>
          <t>A 28740-2024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45478</v>
      </c>
      <c r="E25" s="1" t="n">
        <v>46307</v>
      </c>
      <c r="F25" t="inlineStr">
        <is>
          <t>KRONOBERGS LÄN</t>
        </is>
      </c>
      <c r="G25" t="inlineStr">
        <is>
          <t>ALVESTA</t>
        </is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Västlig hakmossa
Revlummer</t>
        </is>
      </c>
      <c r="W25">
        <f>HYPERLINK("https://klasma.github.io/Logging_0764/artfynd/A 28740-2024 artfynd.xlsx", "A 28740-2024")</f>
        <v/>
      </c>
      <c r="X25">
        <f>HYPERLINK("https://klasma.github.io/Logging_0764/kartor/A 28740-2024 karta.png", "A 28740-2024")</f>
        <v/>
      </c>
      <c r="Y25">
        <f>HYPERLINK("https://klasma.github.io/Logging_0764/kartor_geotiff/A 28740-2024 georefererad karta.tif", "A 28740-2024")</f>
        <v/>
      </c>
      <c r="AA25">
        <f>HYPERLINK("https://klasma.github.io/Logging_0764/klagomål/A 28740-2024 FSC-klagomål.docx", "A 28740-2024")</f>
        <v/>
      </c>
      <c r="AB25">
        <f>HYPERLINK("https://klasma.github.io/Logging_0764/klagomålsmail/A 28740-2024 FSC-klagomål mail.docx", "A 28740-2024")</f>
        <v/>
      </c>
      <c r="AC25">
        <f>HYPERLINK("https://klasma.github.io/Logging_0764/tillsyn/A 28740-2024 tillsynsbegäran.docx", "A 28740-2024")</f>
        <v/>
      </c>
      <c r="AD25">
        <f>HYPERLINK("https://klasma.github.io/Logging_0764/tillsynsmail/A 28740-2024 tillsynsbegäran mail.docx", "A 28740-2024")</f>
        <v/>
      </c>
    </row>
    <row r="26" ht="15" customHeight="1">
      <c r="A26" t="inlineStr">
        <is>
          <t>A 59362-2024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45638</v>
      </c>
      <c r="E26" s="1" t="n">
        <v>46307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Brandticka
Västlig hakmossa</t>
        </is>
      </c>
      <c r="W26">
        <f>HYPERLINK("https://klasma.github.io/Logging_0764/artfynd/A 59362-2024 artfynd.xlsx", "A 59362-2024")</f>
        <v/>
      </c>
      <c r="X26">
        <f>HYPERLINK("https://klasma.github.io/Logging_0764/kartor/A 59362-2024 karta.png", "A 59362-2024")</f>
        <v/>
      </c>
      <c r="Y26">
        <f>HYPERLINK("https://klasma.github.io/Logging_0764/kartor_geotiff/A 59362-2024 georefererad karta.tif", "A 59362-2024")</f>
        <v/>
      </c>
      <c r="AA26">
        <f>HYPERLINK("https://klasma.github.io/Logging_0764/klagomål/A 59362-2024 FSC-klagomål.docx", "A 59362-2024")</f>
        <v/>
      </c>
      <c r="AB26">
        <f>HYPERLINK("https://klasma.github.io/Logging_0764/klagomålsmail/A 59362-2024 FSC-klagomål mail.docx", "A 59362-2024")</f>
        <v/>
      </c>
      <c r="AC26">
        <f>HYPERLINK("https://klasma.github.io/Logging_0764/tillsyn/A 59362-2024 tillsynsbegäran.docx", "A 59362-2024")</f>
        <v/>
      </c>
      <c r="AD26">
        <f>HYPERLINK("https://klasma.github.io/Logging_0764/tillsynsmail/A 59362-2024 tillsynsbegäran mail.docx", "A 59362-2024")</f>
        <v/>
      </c>
    </row>
    <row r="27" ht="15" customHeight="1">
      <c r="A27" t="inlineStr">
        <is>
          <t>A 51785-2025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45951</v>
      </c>
      <c r="E27" s="1" t="n">
        <v>46307</v>
      </c>
      <c r="F27" t="inlineStr">
        <is>
          <t>KRONOBERGS LÄN</t>
        </is>
      </c>
      <c r="G27" t="inlineStr">
        <is>
          <t>ALVESTA</t>
        </is>
      </c>
      <c r="I27" t="n">
        <v>24.5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Borsttåg
Lopplummer (aggregat)</t>
        </is>
      </c>
      <c r="W27">
        <f>HYPERLINK("https://klasma.github.io/Logging_0764/artfynd/A 51785-2025 artfynd.xlsx", "A 51785-2025")</f>
        <v/>
      </c>
      <c r="X27">
        <f>HYPERLINK("https://klasma.github.io/Logging_0764/kartor/A 51785-2025 karta.png", "A 51785-2025")</f>
        <v/>
      </c>
      <c r="Y27">
        <f>HYPERLINK("https://klasma.github.io/Logging_0764/kartor_geotiff/A 51785-2025 georefererad karta.tif", "A 51785-2025")</f>
        <v/>
      </c>
      <c r="AA27">
        <f>HYPERLINK("https://klasma.github.io/Logging_0764/klagomål/A 51785-2025 FSC-klagomål.docx", "A 51785-2025")</f>
        <v/>
      </c>
      <c r="AB27">
        <f>HYPERLINK("https://klasma.github.io/Logging_0764/klagomålsmail/A 51785-2025 FSC-klagomål mail.docx", "A 51785-2025")</f>
        <v/>
      </c>
      <c r="AC27">
        <f>HYPERLINK("https://klasma.github.io/Logging_0764/tillsyn/A 51785-2025 tillsynsbegäran.docx", "A 51785-2025")</f>
        <v/>
      </c>
      <c r="AD27">
        <f>HYPERLINK("https://klasma.github.io/Logging_0764/tillsynsmail/A 51785-2025 tillsynsbegäran mail.docx", "A 51785-2025")</f>
        <v/>
      </c>
    </row>
    <row r="28" ht="15" customHeight="1">
      <c r="A28" t="inlineStr">
        <is>
          <t>A 64797-2021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46307</v>
      </c>
      <c r="F28" t="inlineStr">
        <is>
          <t>KRONOBERGS LÄN</t>
        </is>
      </c>
      <c r="G28" t="inlineStr">
        <is>
          <t>ALVESTA</t>
        </is>
      </c>
      <c r="I28" t="n">
        <v>4.2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Röd glada
Trana</t>
        </is>
      </c>
      <c r="W28">
        <f>HYPERLINK("https://klasma.github.io/Logging_0764/artfynd/A 64797-2021 artfynd.xlsx", "A 64797-2021")</f>
        <v/>
      </c>
      <c r="X28">
        <f>HYPERLINK("https://klasma.github.io/Logging_0764/kartor/A 64797-2021 karta.png", "A 64797-2021")</f>
        <v/>
      </c>
      <c r="Y28">
        <f>HYPERLINK("https://klasma.github.io/Logging_0764/kartor_geotiff/A 64797-2021 georefererad karta.tif", "A 64797-2021")</f>
        <v/>
      </c>
      <c r="AA28">
        <f>HYPERLINK("https://klasma.github.io/Logging_0764/klagomål/A 64797-2021 FSC-klagomål.docx", "A 64797-2021")</f>
        <v/>
      </c>
      <c r="AB28">
        <f>HYPERLINK("https://klasma.github.io/Logging_0764/klagomålsmail/A 64797-2021 FSC-klagomål mail.docx", "A 64797-2021")</f>
        <v/>
      </c>
      <c r="AC28">
        <f>HYPERLINK("https://klasma.github.io/Logging_0764/tillsyn/A 64797-2021 tillsynsbegäran.docx", "A 64797-2021")</f>
        <v/>
      </c>
      <c r="AD28">
        <f>HYPERLINK("https://klasma.github.io/Logging_0764/tillsynsmail/A 64797-2021 tillsynsbegäran mail.docx", "A 64797-2021")</f>
        <v/>
      </c>
      <c r="AE28">
        <f>HYPERLINK("https://klasma.github.io/Logging_0764/fåglar/A 64797-2021 prioriterade fågelarter.docx", "A 64797-2021")</f>
        <v/>
      </c>
    </row>
    <row r="29" ht="15" customHeight="1">
      <c r="A29" t="inlineStr">
        <is>
          <t>A 18486-2025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45763</v>
      </c>
      <c r="E29" s="1" t="n">
        <v>46307</v>
      </c>
      <c r="F29" t="inlineStr">
        <is>
          <t>KRONOBERGS LÄN</t>
        </is>
      </c>
      <c r="G29" t="inlineStr">
        <is>
          <t>ALVESTA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Brunpudrad nållav
Spillkråka</t>
        </is>
      </c>
      <c r="W29">
        <f>HYPERLINK("https://klasma.github.io/Logging_0764/artfynd/A 18486-2025 artfynd.xlsx", "A 18486-2025")</f>
        <v/>
      </c>
      <c r="X29">
        <f>HYPERLINK("https://klasma.github.io/Logging_0764/kartor/A 18486-2025 karta.png", "A 18486-2025")</f>
        <v/>
      </c>
      <c r="Y29">
        <f>HYPERLINK("https://klasma.github.io/Logging_0764/kartor_geotiff/A 18486-2025 georefererad karta.tif", "A 18486-2025")</f>
        <v/>
      </c>
      <c r="AA29">
        <f>HYPERLINK("https://klasma.github.io/Logging_0764/klagomål/A 18486-2025 FSC-klagomål.docx", "A 18486-2025")</f>
        <v/>
      </c>
      <c r="AB29">
        <f>HYPERLINK("https://klasma.github.io/Logging_0764/klagomålsmail/A 18486-2025 FSC-klagomål mail.docx", "A 18486-2025")</f>
        <v/>
      </c>
      <c r="AC29">
        <f>HYPERLINK("https://klasma.github.io/Logging_0764/tillsyn/A 18486-2025 tillsynsbegäran.docx", "A 18486-2025")</f>
        <v/>
      </c>
      <c r="AD29">
        <f>HYPERLINK("https://klasma.github.io/Logging_0764/tillsynsmail/A 18486-2025 tillsynsbegäran mail.docx", "A 18486-2025")</f>
        <v/>
      </c>
      <c r="AE29">
        <f>HYPERLINK("https://klasma.github.io/Logging_0764/fåglar/A 18486-2025 prioriterade fågelarter.docx", "A 18486-2025")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46307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35257-2026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46307</v>
      </c>
      <c r="F31" t="inlineStr">
        <is>
          <t>KRONOBERGS LÄN</t>
        </is>
      </c>
      <c r="G31" t="inlineStr">
        <is>
          <t>ALVESTA</t>
        </is>
      </c>
      <c r="I31" t="n">
        <v>3.5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Sotvaxskivling
Västlig hakmossa</t>
        </is>
      </c>
      <c r="W31">
        <f>HYPERLINK("https://klasma.github.io/Logging_0764/artfynd/A 35257-2026 artfynd.xlsx", "A 35257-2026")</f>
        <v/>
      </c>
      <c r="X31">
        <f>HYPERLINK("https://klasma.github.io/Logging_0764/kartor/A 35257-2026 karta.png", "A 35257-2026")</f>
        <v/>
      </c>
      <c r="Y31">
        <f>HYPERLINK("https://klasma.github.io/Logging_0764/kartor_geotiff/A 35257-2026 georefererad karta.tif", "A 35257-2026")</f>
        <v/>
      </c>
      <c r="AA31">
        <f>HYPERLINK("https://klasma.github.io/Logging_0764/klagomål/A 35257-2026 FSC-klagomål.docx", "A 35257-2026")</f>
        <v/>
      </c>
      <c r="AB31">
        <f>HYPERLINK("https://klasma.github.io/Logging_0764/klagomålsmail/A 35257-2026 FSC-klagomål mail.docx", "A 35257-2026")</f>
        <v/>
      </c>
      <c r="AC31">
        <f>HYPERLINK("https://klasma.github.io/Logging_0764/tillsyn/A 35257-2026 tillsynsbegäran.docx", "A 35257-2026")</f>
        <v/>
      </c>
      <c r="AD31">
        <f>HYPERLINK("https://klasma.github.io/Logging_0764/tillsynsmail/A 35257-2026 tillsynsbegäran mail.docx", "A 35257-2026")</f>
        <v/>
      </c>
    </row>
    <row r="32" ht="15" customHeight="1">
      <c r="A32" t="inlineStr">
        <is>
          <t>A 37143-2026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46307</v>
      </c>
      <c r="F32" t="inlineStr">
        <is>
          <t>KRONOBERGS LÄN</t>
        </is>
      </c>
      <c r="G32" t="inlineStr">
        <is>
          <t>ALVESTA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Vedtrappmossa
Stor revmossa</t>
        </is>
      </c>
      <c r="W32">
        <f>HYPERLINK("https://klasma.github.io/Logging_0764/artfynd/A 37143-2026 artfynd.xlsx", "A 37143-2026")</f>
        <v/>
      </c>
      <c r="X32">
        <f>HYPERLINK("https://klasma.github.io/Logging_0764/kartor/A 37143-2026 karta.png", "A 37143-2026")</f>
        <v/>
      </c>
      <c r="Y32">
        <f>HYPERLINK("https://klasma.github.io/Logging_0764/kartor_geotiff/A 37143-2026 georefererad karta.tif", "A 37143-2026")</f>
        <v/>
      </c>
      <c r="AA32">
        <f>HYPERLINK("https://klasma.github.io/Logging_0764/klagomål/A 37143-2026 FSC-klagomål.docx", "A 37143-2026")</f>
        <v/>
      </c>
      <c r="AB32">
        <f>HYPERLINK("https://klasma.github.io/Logging_0764/klagomålsmail/A 37143-2026 FSC-klagomål mail.docx", "A 37143-2026")</f>
        <v/>
      </c>
      <c r="AC32">
        <f>HYPERLINK("https://klasma.github.io/Logging_0764/tillsyn/A 37143-2026 tillsynsbegäran.docx", "A 37143-2026")</f>
        <v/>
      </c>
      <c r="AD32">
        <f>HYPERLINK("https://klasma.github.io/Logging_0764/tillsynsmail/A 37143-2026 tillsynsbegäran mail.docx", "A 37143-2026")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46307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46307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46307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46307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12221-2024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46307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Brandticka</t>
        </is>
      </c>
      <c r="W37">
        <f>HYPERLINK("https://klasma.github.io/Logging_0764/artfynd/A 12221-2024 artfynd.xlsx", "A 12221-2024")</f>
        <v/>
      </c>
      <c r="X37">
        <f>HYPERLINK("https://klasma.github.io/Logging_0764/kartor/A 12221-2024 karta.png", "A 12221-2024")</f>
        <v/>
      </c>
      <c r="Y37">
        <f>HYPERLINK("https://klasma.github.io/Logging_0764/kartor_geotiff/A 12221-2024 georefererad karta.tif", "A 12221-2024")</f>
        <v/>
      </c>
      <c r="AA37">
        <f>HYPERLINK("https://klasma.github.io/Logging_0764/klagomål/A 12221-2024 FSC-klagomål.docx", "A 12221-2024")</f>
        <v/>
      </c>
      <c r="AB37">
        <f>HYPERLINK("https://klasma.github.io/Logging_0764/klagomålsmail/A 12221-2024 FSC-klagomål mail.docx", "A 12221-2024")</f>
        <v/>
      </c>
      <c r="AC37">
        <f>HYPERLINK("https://klasma.github.io/Logging_0764/tillsyn/A 12221-2024 tillsynsbegäran.docx", "A 12221-2024")</f>
        <v/>
      </c>
      <c r="AD37">
        <f>HYPERLINK("https://klasma.github.io/Logging_0764/tillsynsmail/A 12221-2024 tillsynsbegäran mail.docx", "A 12221-2024")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46307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47338-2022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46307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HYPERLINK("https://klasma.github.io/Logging_0764/artfynd/A 47338-2022 artfynd.xlsx", "A 47338-2022")</f>
        <v/>
      </c>
      <c r="X39">
        <f>HYPERLINK("https://klasma.github.io/Logging_0764/kartor/A 47338-2022 karta.png", "A 47338-2022")</f>
        <v/>
      </c>
      <c r="Y39">
        <f>HYPERLINK("https://klasma.github.io/Logging_0764/kartor_geotiff/A 47338-2022 georefererad karta.tif", "A 47338-2022")</f>
        <v/>
      </c>
      <c r="AA39">
        <f>HYPERLINK("https://klasma.github.io/Logging_0764/klagomål/A 47338-2022 FSC-klagomål.docx", "A 47338-2022")</f>
        <v/>
      </c>
      <c r="AB39">
        <f>HYPERLINK("https://klasma.github.io/Logging_0764/klagomålsmail/A 47338-2022 FSC-klagomål mail.docx", "A 47338-2022")</f>
        <v/>
      </c>
      <c r="AC39">
        <f>HYPERLINK("https://klasma.github.io/Logging_0764/tillsyn/A 47338-2022 tillsynsbegäran.docx", "A 47338-2022")</f>
        <v/>
      </c>
      <c r="AD39">
        <f>HYPERLINK("https://klasma.github.io/Logging_0764/tillsynsmail/A 47338-2022 tillsynsbegäran mail.docx", "A 47338-2022")</f>
        <v/>
      </c>
      <c r="AE39">
        <f>HYPERLINK("https://klasma.github.io/Logging_0764/fåglar/A 47338-2022 prioriterade fågelarter.docx", "A 47338-2022")</f>
        <v/>
      </c>
    </row>
    <row r="40" ht="15" customHeight="1">
      <c r="A40" t="inlineStr">
        <is>
          <t>A 43766-2023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45187</v>
      </c>
      <c r="E40" s="1" t="n">
        <v>46307</v>
      </c>
      <c r="F40" t="inlineStr">
        <is>
          <t>KRONOBERGS LÄN</t>
        </is>
      </c>
      <c r="G40" t="inlineStr">
        <is>
          <t>ALVESTA</t>
        </is>
      </c>
      <c r="I40" t="n">
        <v>0.8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HYPERLINK("https://klasma.github.io/Logging_0764/artfynd/A 43766-2023 artfynd.xlsx", "A 43766-2023")</f>
        <v/>
      </c>
      <c r="X40">
        <f>HYPERLINK("https://klasma.github.io/Logging_0764/kartor/A 43766-2023 karta.png", "A 43766-2023")</f>
        <v/>
      </c>
      <c r="Y40">
        <f>HYPERLINK("https://klasma.github.io/Logging_0764/kartor_geotiff/A 43766-2023 georefererad karta.tif", "A 43766-2023")</f>
        <v/>
      </c>
      <c r="AA40">
        <f>HYPERLINK("https://klasma.github.io/Logging_0764/klagomål/A 43766-2023 FSC-klagomål.docx", "A 43766-2023")</f>
        <v/>
      </c>
      <c r="AB40">
        <f>HYPERLINK("https://klasma.github.io/Logging_0764/klagomålsmail/A 43766-2023 FSC-klagomål mail.docx", "A 43766-2023")</f>
        <v/>
      </c>
      <c r="AC40">
        <f>HYPERLINK("https://klasma.github.io/Logging_0764/tillsyn/A 43766-2023 tillsynsbegäran.docx", "A 43766-2023")</f>
        <v/>
      </c>
      <c r="AD40">
        <f>HYPERLINK("https://klasma.github.io/Logging_0764/tillsynsmail/A 43766-2023 tillsynsbegäran mail.docx", "A 43766-2023")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46307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46307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46307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37608-2022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44810</v>
      </c>
      <c r="E44" s="1" t="n">
        <v>46307</v>
      </c>
      <c r="F44" t="inlineStr">
        <is>
          <t>KRONOBERGS LÄN</t>
        </is>
      </c>
      <c r="G44" t="inlineStr">
        <is>
          <t>ALVESTA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Gropticka</t>
        </is>
      </c>
      <c r="W44">
        <f>HYPERLINK("https://klasma.github.io/Logging_0764/artfynd/A 37608-2022 artfynd.xlsx", "A 37608-2022")</f>
        <v/>
      </c>
      <c r="X44">
        <f>HYPERLINK("https://klasma.github.io/Logging_0764/kartor/A 37608-2022 karta.png", "A 37608-2022")</f>
        <v/>
      </c>
      <c r="Y44">
        <f>HYPERLINK("https://klasma.github.io/Logging_0764/kartor_geotiff/A 37608-2022 georefererad karta.tif", "A 37608-2022")</f>
        <v/>
      </c>
      <c r="AA44">
        <f>HYPERLINK("https://klasma.github.io/Logging_0764/klagomål/A 37608-2022 FSC-klagomål.docx", "A 37608-2022")</f>
        <v/>
      </c>
      <c r="AB44">
        <f>HYPERLINK("https://klasma.github.io/Logging_0764/klagomålsmail/A 37608-2022 FSC-klagomål mail.docx", "A 37608-2022")</f>
        <v/>
      </c>
      <c r="AC44">
        <f>HYPERLINK("https://klasma.github.io/Logging_0764/tillsyn/A 37608-2022 tillsynsbegäran.docx", "A 37608-2022")</f>
        <v/>
      </c>
      <c r="AD44">
        <f>HYPERLINK("https://klasma.github.io/Logging_0764/tillsynsmail/A 37608-2022 tillsynsbegäran mail.docx", "A 37608-2022")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46307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18676-2023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45043</v>
      </c>
      <c r="E46" s="1" t="n">
        <v>46307</v>
      </c>
      <c r="F46" t="inlineStr">
        <is>
          <t>KRONOBERGS LÄN</t>
        </is>
      </c>
      <c r="G46" t="inlineStr">
        <is>
          <t>ALVESTA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Blomkålssvamp</t>
        </is>
      </c>
      <c r="W46">
        <f>HYPERLINK("https://klasma.github.io/Logging_0764/artfynd/A 18676-2023 artfynd.xlsx", "A 18676-2023")</f>
        <v/>
      </c>
      <c r="X46">
        <f>HYPERLINK("https://klasma.github.io/Logging_0764/kartor/A 18676-2023 karta.png", "A 18676-2023")</f>
        <v/>
      </c>
      <c r="Y46">
        <f>HYPERLINK("https://klasma.github.io/Logging_0764/kartor_geotiff/A 18676-2023 georefererad karta.tif", "A 18676-2023")</f>
        <v/>
      </c>
      <c r="AA46">
        <f>HYPERLINK("https://klasma.github.io/Logging_0764/klagomål/A 18676-2023 FSC-klagomål.docx", "A 18676-2023")</f>
        <v/>
      </c>
      <c r="AB46">
        <f>HYPERLINK("https://klasma.github.io/Logging_0764/klagomålsmail/A 18676-2023 FSC-klagomål mail.docx", "A 18676-2023")</f>
        <v/>
      </c>
      <c r="AC46">
        <f>HYPERLINK("https://klasma.github.io/Logging_0764/tillsyn/A 18676-2023 tillsynsbegäran.docx", "A 18676-2023")</f>
        <v/>
      </c>
      <c r="AD46">
        <f>HYPERLINK("https://klasma.github.io/Logging_0764/tillsynsmail/A 18676-2023 tillsynsbegäran mail.docx", "A 18676-2023")</f>
        <v/>
      </c>
    </row>
    <row r="47" ht="15" customHeight="1">
      <c r="A47" t="inlineStr">
        <is>
          <t>A 29382-2023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45106</v>
      </c>
      <c r="E47" s="1" t="n">
        <v>46307</v>
      </c>
      <c r="F47" t="inlineStr">
        <is>
          <t>KRONOBERGS LÄN</t>
        </is>
      </c>
      <c r="G47" t="inlineStr">
        <is>
          <t>ALVESTA</t>
        </is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29382-2023 artfynd.xlsx", "A 29382-2023")</f>
        <v/>
      </c>
      <c r="X47">
        <f>HYPERLINK("https://klasma.github.io/Logging_0764/kartor/A 29382-2023 karta.png", "A 29382-2023")</f>
        <v/>
      </c>
      <c r="Y47">
        <f>HYPERLINK("https://klasma.github.io/Logging_0764/kartor_geotiff/A 29382-2023 georefererad karta.tif", "A 29382-2023")</f>
        <v/>
      </c>
      <c r="AA47">
        <f>HYPERLINK("https://klasma.github.io/Logging_0764/klagomål/A 29382-2023 FSC-klagomål.docx", "A 29382-2023")</f>
        <v/>
      </c>
      <c r="AB47">
        <f>HYPERLINK("https://klasma.github.io/Logging_0764/klagomålsmail/A 29382-2023 FSC-klagomål mail.docx", "A 29382-2023")</f>
        <v/>
      </c>
      <c r="AC47">
        <f>HYPERLINK("https://klasma.github.io/Logging_0764/tillsyn/A 29382-2023 tillsynsbegäran.docx", "A 29382-2023")</f>
        <v/>
      </c>
      <c r="AD47">
        <f>HYPERLINK("https://klasma.github.io/Logging_0764/tillsynsmail/A 29382-2023 tillsynsbegäran mail.docx", "A 29382-2023")</f>
        <v/>
      </c>
    </row>
    <row r="48" ht="15" customHeight="1">
      <c r="A48" t="inlineStr">
        <is>
          <t>A 55368-2025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46307</v>
      </c>
      <c r="F48" t="inlineStr">
        <is>
          <t>KRONOBERGS LÄN</t>
        </is>
      </c>
      <c r="G48" t="inlineStr">
        <is>
          <t>ALVESTA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HYPERLINK("https://klasma.github.io/Logging_0764/artfynd/A 55368-2025 artfynd.xlsx", "A 55368-2025")</f>
        <v/>
      </c>
      <c r="X48">
        <f>HYPERLINK("https://klasma.github.io/Logging_0764/kartor/A 55368-2025 karta.png", "A 55368-2025")</f>
        <v/>
      </c>
      <c r="Y48">
        <f>HYPERLINK("https://klasma.github.io/Logging_0764/kartor_geotiff/A 55368-2025 georefererad karta.tif", "A 55368-2025")</f>
        <v/>
      </c>
      <c r="AA48">
        <f>HYPERLINK("https://klasma.github.io/Logging_0764/klagomål/A 55368-2025 FSC-klagomål.docx", "A 55368-2025")</f>
        <v/>
      </c>
      <c r="AB48">
        <f>HYPERLINK("https://klasma.github.io/Logging_0764/klagomålsmail/A 55368-2025 FSC-klagomål mail.docx", "A 55368-2025")</f>
        <v/>
      </c>
      <c r="AC48">
        <f>HYPERLINK("https://klasma.github.io/Logging_0764/tillsyn/A 55368-2025 tillsynsbegäran.docx", "A 55368-2025")</f>
        <v/>
      </c>
      <c r="AD48">
        <f>HYPERLINK("https://klasma.github.io/Logging_0764/tillsynsmail/A 55368-2025 tillsynsbegäran mail.docx", "A 55368-2025")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46307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46307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46307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46307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46307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46307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46307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46307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46307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46307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46307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46307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46307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46307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46307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46307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46307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46307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46307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46307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46307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46307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46307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46307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46307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46307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46307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46307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46307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58333-2021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44488</v>
      </c>
      <c r="E78" s="1" t="n">
        <v>46307</v>
      </c>
      <c r="F78" t="inlineStr">
        <is>
          <t>KRONOBERGS LÄN</t>
        </is>
      </c>
      <c r="G78" t="inlineStr">
        <is>
          <t>ALVESTA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46307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48561-2022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44859</v>
      </c>
      <c r="E80" s="1" t="n">
        <v>46307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44854</v>
      </c>
      <c r="E81" s="1" t="n">
        <v>46307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7237-2022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46307</v>
      </c>
      <c r="F82" t="inlineStr">
        <is>
          <t>KRONOBERGS LÄN</t>
        </is>
      </c>
      <c r="G82" t="inlineStr">
        <is>
          <t>ALVESTA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24856-2022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44728</v>
      </c>
      <c r="E83" s="1" t="n">
        <v>46307</v>
      </c>
      <c r="F83" t="inlineStr">
        <is>
          <t>KRONOBERGS LÄN</t>
        </is>
      </c>
      <c r="G83" t="inlineStr">
        <is>
          <t>ALVESTA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26368-2022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44735</v>
      </c>
      <c r="E84" s="1" t="n">
        <v>46307</v>
      </c>
      <c r="F84" t="inlineStr">
        <is>
          <t>KRONOBERGS LÄN</t>
        </is>
      </c>
      <c r="G84" t="inlineStr">
        <is>
          <t>ALVESTA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46307</v>
      </c>
      <c r="F85" t="inlineStr">
        <is>
          <t>KRONOBERGS LÄN</t>
        </is>
      </c>
      <c r="G85" t="inlineStr">
        <is>
          <t>ALVESTA</t>
        </is>
      </c>
      <c r="H85" t="inlineStr">
        <is>
          <t>Kommuner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46307</v>
      </c>
      <c r="F86" t="inlineStr">
        <is>
          <t>KRONOBERGS LÄN</t>
        </is>
      </c>
      <c r="G86" t="inlineStr">
        <is>
          <t>ALVESTA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46307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46307</v>
      </c>
      <c r="F88" t="inlineStr">
        <is>
          <t>KRONOBERGS LÄN</t>
        </is>
      </c>
      <c r="G88" t="inlineStr">
        <is>
          <t>ALVESTA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70869-2021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44538</v>
      </c>
      <c r="E89" s="1" t="n">
        <v>46307</v>
      </c>
      <c r="F89" t="inlineStr">
        <is>
          <t>KRONOBERGS LÄN</t>
        </is>
      </c>
      <c r="G89" t="inlineStr">
        <is>
          <t>ALVESTA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46307</v>
      </c>
      <c r="F90" t="inlineStr">
        <is>
          <t>KRONOBERGS LÄN</t>
        </is>
      </c>
      <c r="G90" t="inlineStr">
        <is>
          <t>ALVESTA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48763-2022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46307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46307</v>
      </c>
      <c r="F92" t="inlineStr">
        <is>
          <t>KRONOBERGS LÄN</t>
        </is>
      </c>
      <c r="G92" t="inlineStr">
        <is>
          <t>ALVESTA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19266-2022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46307</v>
      </c>
      <c r="F93" t="inlineStr">
        <is>
          <t>KRONOBERGS LÄN</t>
        </is>
      </c>
      <c r="G93" t="inlineStr">
        <is>
          <t>ALVESTA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46307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46307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44515</v>
      </c>
      <c r="E96" s="1" t="n">
        <v>46307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46307</v>
      </c>
      <c r="F97" t="inlineStr">
        <is>
          <t>KRONOBERGS LÄN</t>
        </is>
      </c>
      <c r="G97" t="inlineStr">
        <is>
          <t>ALVESTA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46307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46307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46307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46307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45673</v>
      </c>
      <c r="E102" s="1" t="n">
        <v>46307</v>
      </c>
      <c r="F102" t="inlineStr">
        <is>
          <t>KRONOBERGS LÄN</t>
        </is>
      </c>
      <c r="G102" t="inlineStr">
        <is>
          <t>ALVESTA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46307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46307</v>
      </c>
      <c r="F104" t="inlineStr">
        <is>
          <t>KRONOBERGS LÄN</t>
        </is>
      </c>
      <c r="G104" t="inlineStr">
        <is>
          <t>ALVESTA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46307</v>
      </c>
      <c r="F105" t="inlineStr">
        <is>
          <t>KRONOBERGS LÄN</t>
        </is>
      </c>
      <c r="G105" t="inlineStr">
        <is>
          <t>ALVESTA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44893</v>
      </c>
      <c r="E106" s="1" t="n">
        <v>46307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44804</v>
      </c>
      <c r="E107" s="1" t="n">
        <v>46307</v>
      </c>
      <c r="F107" t="inlineStr">
        <is>
          <t>KRONOBERGS LÄN</t>
        </is>
      </c>
      <c r="G107" t="inlineStr">
        <is>
          <t>ALVESTA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44855</v>
      </c>
      <c r="E108" s="1" t="n">
        <v>46307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46307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34148-2023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45136</v>
      </c>
      <c r="E110" s="1" t="n">
        <v>46307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45128</v>
      </c>
      <c r="E111" s="1" t="n">
        <v>46307</v>
      </c>
      <c r="F111" t="inlineStr">
        <is>
          <t>KRONOBERGS LÄN</t>
        </is>
      </c>
      <c r="G111" t="inlineStr">
        <is>
          <t>ALVESTA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28818-2022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46307</v>
      </c>
      <c r="F112" t="inlineStr">
        <is>
          <t>KRONOBERGS LÄN</t>
        </is>
      </c>
      <c r="G112" t="inlineStr">
        <is>
          <t>ALVESTA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34272-2023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45128</v>
      </c>
      <c r="E113" s="1" t="n">
        <v>46307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53917-2022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44880</v>
      </c>
      <c r="E114" s="1" t="n">
        <v>46307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46307</v>
      </c>
      <c r="F115" t="inlineStr">
        <is>
          <t>KRONOBERGS LÄN</t>
        </is>
      </c>
      <c r="G115" t="inlineStr">
        <is>
          <t>ALVESTA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46307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45692</v>
      </c>
      <c r="E117" s="1" t="n">
        <v>46307</v>
      </c>
      <c r="F117" t="inlineStr">
        <is>
          <t>KRONOBERGS LÄN</t>
        </is>
      </c>
      <c r="G117" t="inlineStr">
        <is>
          <t>ALVESTA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45128</v>
      </c>
      <c r="E118" s="1" t="n">
        <v>46307</v>
      </c>
      <c r="F118" t="inlineStr">
        <is>
          <t>KRONOBERGS LÄN</t>
        </is>
      </c>
      <c r="G118" t="inlineStr">
        <is>
          <t>ALVESTA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46307</v>
      </c>
      <c r="F119" t="inlineStr">
        <is>
          <t>KRONOBERGS LÄN</t>
        </is>
      </c>
      <c r="G119" t="inlineStr">
        <is>
          <t>ALVESTA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45159</v>
      </c>
      <c r="E120" s="1" t="n">
        <v>46307</v>
      </c>
      <c r="F120" t="inlineStr">
        <is>
          <t>KRONOBERGS LÄN</t>
        </is>
      </c>
      <c r="G120" t="inlineStr">
        <is>
          <t>ALVESTA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46307</v>
      </c>
      <c r="F121" t="inlineStr">
        <is>
          <t>KRONOBERGS LÄN</t>
        </is>
      </c>
      <c r="G121" t="inlineStr">
        <is>
          <t>ALVESTA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45618</v>
      </c>
      <c r="E122" s="1" t="n">
        <v>46307</v>
      </c>
      <c r="F122" t="inlineStr">
        <is>
          <t>KRONOBERGS LÄN</t>
        </is>
      </c>
      <c r="G122" t="inlineStr">
        <is>
          <t>ALVESTA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45217</v>
      </c>
      <c r="E123" s="1" t="n">
        <v>46307</v>
      </c>
      <c r="F123" t="inlineStr">
        <is>
          <t>KRONOBERGS LÄN</t>
        </is>
      </c>
      <c r="G123" t="inlineStr">
        <is>
          <t>ALVESTA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60478-2023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45259</v>
      </c>
      <c r="E124" s="1" t="n">
        <v>46307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12712-2024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45384</v>
      </c>
      <c r="E125" s="1" t="n">
        <v>46307</v>
      </c>
      <c r="F125" t="inlineStr">
        <is>
          <t>KRONOBERGS LÄN</t>
        </is>
      </c>
      <c r="G125" t="inlineStr">
        <is>
          <t>ALVESTA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40566-2024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45555</v>
      </c>
      <c r="E126" s="1" t="n">
        <v>46307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45078</v>
      </c>
      <c r="E127" s="1" t="n">
        <v>46307</v>
      </c>
      <c r="F127" t="inlineStr">
        <is>
          <t>KRONOBERGS LÄN</t>
        </is>
      </c>
      <c r="G127" t="inlineStr">
        <is>
          <t>ALVESTA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46307</v>
      </c>
      <c r="F128" t="inlineStr">
        <is>
          <t>KRONOBERGS LÄN</t>
        </is>
      </c>
      <c r="G128" t="inlineStr">
        <is>
          <t>ALVESTA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45329</v>
      </c>
      <c r="E129" s="1" t="n">
        <v>46307</v>
      </c>
      <c r="F129" t="inlineStr">
        <is>
          <t>KRONOBERGS LÄN</t>
        </is>
      </c>
      <c r="G129" t="inlineStr">
        <is>
          <t>ALVESTA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45296</v>
      </c>
      <c r="E130" s="1" t="n">
        <v>46307</v>
      </c>
      <c r="F130" t="inlineStr">
        <is>
          <t>KRONOBERGS LÄN</t>
        </is>
      </c>
      <c r="G130" t="inlineStr">
        <is>
          <t>ALVESTA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46307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46307</v>
      </c>
      <c r="F132" t="inlineStr">
        <is>
          <t>KRONOBERGS LÄN</t>
        </is>
      </c>
      <c r="G132" t="inlineStr">
        <is>
          <t>ALVESTA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46307</v>
      </c>
      <c r="F133" t="inlineStr">
        <is>
          <t>KRONOBERGS LÄN</t>
        </is>
      </c>
      <c r="G133" t="inlineStr">
        <is>
          <t>ALVESTA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62147-2023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45267</v>
      </c>
      <c r="E134" s="1" t="n">
        <v>46307</v>
      </c>
      <c r="F134" t="inlineStr">
        <is>
          <t>KRONOBERGS LÄN</t>
        </is>
      </c>
      <c r="G134" t="inlineStr">
        <is>
          <t>ALVESTA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45436</v>
      </c>
      <c r="E135" s="1" t="n">
        <v>46307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45436</v>
      </c>
      <c r="E136" s="1" t="n">
        <v>46307</v>
      </c>
      <c r="F136" t="inlineStr">
        <is>
          <t>KRONOBERGS LÄN</t>
        </is>
      </c>
      <c r="G136" t="inlineStr">
        <is>
          <t>ALVESTA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32650-2022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44783</v>
      </c>
      <c r="E137" s="1" t="n">
        <v>46307</v>
      </c>
      <c r="F137" t="inlineStr">
        <is>
          <t>KRONOBERGS LÄN</t>
        </is>
      </c>
      <c r="G137" t="inlineStr">
        <is>
          <t>ALVESTA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46307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40366-2023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46307</v>
      </c>
      <c r="F139" t="inlineStr">
        <is>
          <t>KRONOBERGS LÄN</t>
        </is>
      </c>
      <c r="G139" t="inlineStr">
        <is>
          <t>ALVESTA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44998</v>
      </c>
      <c r="E140" s="1" t="n">
        <v>46307</v>
      </c>
      <c r="F140" t="inlineStr">
        <is>
          <t>KRONOBERGS LÄN</t>
        </is>
      </c>
      <c r="G140" t="inlineStr">
        <is>
          <t>ALVESTA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16357-2024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45407</v>
      </c>
      <c r="E141" s="1" t="n">
        <v>46307</v>
      </c>
      <c r="F141" t="inlineStr">
        <is>
          <t>KRONOBERGS LÄN</t>
        </is>
      </c>
      <c r="G141" t="inlineStr">
        <is>
          <t>ALVESTA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58287-2022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44901</v>
      </c>
      <c r="E142" s="1" t="n">
        <v>46307</v>
      </c>
      <c r="F142" t="inlineStr">
        <is>
          <t>KRONOBERGS LÄN</t>
        </is>
      </c>
      <c r="G142" t="inlineStr">
        <is>
          <t>ALVESTA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44901</v>
      </c>
      <c r="E143" s="1" t="n">
        <v>46307</v>
      </c>
      <c r="F143" t="inlineStr">
        <is>
          <t>KRONOBERGS LÄN</t>
        </is>
      </c>
      <c r="G143" t="inlineStr">
        <is>
          <t>ALVESTA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46307</v>
      </c>
      <c r="F144" t="inlineStr">
        <is>
          <t>KRONOBERGS LÄN</t>
        </is>
      </c>
      <c r="G144" t="inlineStr">
        <is>
          <t>ALVESTA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46307</v>
      </c>
      <c r="F145" t="inlineStr">
        <is>
          <t>KRONOBERGS LÄN</t>
        </is>
      </c>
      <c r="G145" t="inlineStr">
        <is>
          <t>ALVESTA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46307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44907</v>
      </c>
      <c r="E147" s="1" t="n">
        <v>46307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46307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46307</v>
      </c>
      <c r="F149" t="inlineStr">
        <is>
          <t>KRONOBERGS LÄN</t>
        </is>
      </c>
      <c r="G149" t="inlineStr">
        <is>
          <t>ALVESTA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45708</v>
      </c>
      <c r="E150" s="1" t="n">
        <v>46307</v>
      </c>
      <c r="F150" t="inlineStr">
        <is>
          <t>KRONOBERGS LÄN</t>
        </is>
      </c>
      <c r="G150" t="inlineStr">
        <is>
          <t>ALVESTA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29133-2023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46307</v>
      </c>
      <c r="F151" t="inlineStr">
        <is>
          <t>KRONOBERGS LÄN</t>
        </is>
      </c>
      <c r="G151" t="inlineStr">
        <is>
          <t>ALVESTA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45359</v>
      </c>
      <c r="E152" s="1" t="n">
        <v>46307</v>
      </c>
      <c r="F152" t="inlineStr">
        <is>
          <t>KRONOBERGS LÄN</t>
        </is>
      </c>
      <c r="G152" t="inlineStr">
        <is>
          <t>ALVESTA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46307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45336</v>
      </c>
      <c r="E154" s="1" t="n">
        <v>46307</v>
      </c>
      <c r="F154" t="inlineStr">
        <is>
          <t>KRONOBERGS LÄN</t>
        </is>
      </c>
      <c r="G154" t="inlineStr">
        <is>
          <t>ALVESTA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44739</v>
      </c>
      <c r="E155" s="1" t="n">
        <v>46307</v>
      </c>
      <c r="F155" t="inlineStr">
        <is>
          <t>KRONOBERGS LÄN</t>
        </is>
      </c>
      <c r="G155" t="inlineStr">
        <is>
          <t>ALVESTA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46307</v>
      </c>
      <c r="F156" t="inlineStr">
        <is>
          <t>KRONOBERGS LÄN</t>
        </is>
      </c>
      <c r="G156" t="inlineStr">
        <is>
          <t>ALVESTA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43656-2023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46307</v>
      </c>
      <c r="F157" t="inlineStr">
        <is>
          <t>KRONOBERGS LÄN</t>
        </is>
      </c>
      <c r="G157" t="inlineStr">
        <is>
          <t>ALVESTA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45015</v>
      </c>
      <c r="E158" s="1" t="n">
        <v>46307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45055</v>
      </c>
      <c r="E159" s="1" t="n">
        <v>46307</v>
      </c>
      <c r="F159" t="inlineStr">
        <is>
          <t>KRONOBERGS LÄN</t>
        </is>
      </c>
      <c r="G159" t="inlineStr">
        <is>
          <t>ALVESTA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46307</v>
      </c>
      <c r="F160" t="inlineStr">
        <is>
          <t>KRONOBERGS LÄN</t>
        </is>
      </c>
      <c r="G160" t="inlineStr">
        <is>
          <t>ALVESTA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29097-2023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45105</v>
      </c>
      <c r="E161" s="1" t="n">
        <v>46307</v>
      </c>
      <c r="F161" t="inlineStr">
        <is>
          <t>KRONOBERGS LÄN</t>
        </is>
      </c>
      <c r="G161" t="inlineStr">
        <is>
          <t>ALVESTA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44093-2022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46307</v>
      </c>
      <c r="F162" t="inlineStr">
        <is>
          <t>KRONOBERGS LÄN</t>
        </is>
      </c>
      <c r="G162" t="inlineStr">
        <is>
          <t>ALVESTA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46307</v>
      </c>
      <c r="F163" t="inlineStr">
        <is>
          <t>KRONOBERGS LÄN</t>
        </is>
      </c>
      <c r="G163" t="inlineStr">
        <is>
          <t>ALVESTA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25179-2024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46307</v>
      </c>
      <c r="F164" t="inlineStr">
        <is>
          <t>KRONOBERGS LÄN</t>
        </is>
      </c>
      <c r="G164" t="inlineStr">
        <is>
          <t>ALVESTA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16781-2023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45032</v>
      </c>
      <c r="E165" s="1" t="n">
        <v>46307</v>
      </c>
      <c r="F165" t="inlineStr">
        <is>
          <t>KRONOBERGS LÄN</t>
        </is>
      </c>
      <c r="G165" t="inlineStr">
        <is>
          <t>ALVESTA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50733-2023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45217</v>
      </c>
      <c r="E166" s="1" t="n">
        <v>46307</v>
      </c>
      <c r="F166" t="inlineStr">
        <is>
          <t>KRONOBERGS LÄN</t>
        </is>
      </c>
      <c r="G166" t="inlineStr">
        <is>
          <t>ALVESTA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46307</v>
      </c>
      <c r="F167" t="inlineStr">
        <is>
          <t>KRONOBERGS LÄN</t>
        </is>
      </c>
      <c r="G167" t="inlineStr">
        <is>
          <t>ALVESTA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46307</v>
      </c>
      <c r="F168" t="inlineStr">
        <is>
          <t>KRONOBERGS LÄN</t>
        </is>
      </c>
      <c r="G168" t="inlineStr">
        <is>
          <t>ALVESTA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46307</v>
      </c>
      <c r="F169" t="inlineStr">
        <is>
          <t>KRONOBERGS LÄN</t>
        </is>
      </c>
      <c r="G169" t="inlineStr">
        <is>
          <t>ALVESTA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46307</v>
      </c>
      <c r="F170" t="inlineStr">
        <is>
          <t>KRONOBERGS LÄN</t>
        </is>
      </c>
      <c r="G170" t="inlineStr">
        <is>
          <t>ALVESTA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9822-2022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44620</v>
      </c>
      <c r="E171" s="1" t="n">
        <v>46307</v>
      </c>
      <c r="F171" t="inlineStr">
        <is>
          <t>KRONOBERGS LÄN</t>
        </is>
      </c>
      <c r="G171" t="inlineStr">
        <is>
          <t>ALVESTA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46307</v>
      </c>
      <c r="F172" t="inlineStr">
        <is>
          <t>KRONOBERGS LÄN</t>
        </is>
      </c>
      <c r="G172" t="inlineStr">
        <is>
          <t>ALVESTA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60559-2022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44911</v>
      </c>
      <c r="E173" s="1" t="n">
        <v>46307</v>
      </c>
      <c r="F173" t="inlineStr">
        <is>
          <t>KRONOBERGS LÄN</t>
        </is>
      </c>
      <c r="G173" t="inlineStr">
        <is>
          <t>ALVESTA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45308</v>
      </c>
      <c r="E174" s="1" t="n">
        <v>46307</v>
      </c>
      <c r="F174" t="inlineStr">
        <is>
          <t>KRONOBERGS LÄN</t>
        </is>
      </c>
      <c r="G174" t="inlineStr">
        <is>
          <t>ALVESTA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44973</v>
      </c>
      <c r="E175" s="1" t="n">
        <v>46307</v>
      </c>
      <c r="F175" t="inlineStr">
        <is>
          <t>KRONOBERGS LÄN</t>
        </is>
      </c>
      <c r="G175" t="inlineStr">
        <is>
          <t>ALVESTA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46307</v>
      </c>
      <c r="F176" t="inlineStr">
        <is>
          <t>KRONOBERGS LÄN</t>
        </is>
      </c>
      <c r="G176" t="inlineStr">
        <is>
          <t>ALVESTA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20618-2024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45436</v>
      </c>
      <c r="E177" s="1" t="n">
        <v>46307</v>
      </c>
      <c r="F177" t="inlineStr">
        <is>
          <t>KRONOBERGS LÄN</t>
        </is>
      </c>
      <c r="G177" t="inlineStr">
        <is>
          <t>ALVESTA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45519</v>
      </c>
      <c r="E178" s="1" t="n">
        <v>46307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8781-2023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46307</v>
      </c>
      <c r="F179" t="inlineStr">
        <is>
          <t>KRONOBERGS LÄN</t>
        </is>
      </c>
      <c r="G179" t="inlineStr">
        <is>
          <t>ALVESTA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46307</v>
      </c>
      <c r="F180" t="inlineStr">
        <is>
          <t>KRONOBERGS LÄN</t>
        </is>
      </c>
      <c r="G180" t="inlineStr">
        <is>
          <t>ALVESTA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46307</v>
      </c>
      <c r="F181" t="inlineStr">
        <is>
          <t>KRONOBERGS LÄN</t>
        </is>
      </c>
      <c r="G181" t="inlineStr">
        <is>
          <t>ALVESTA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62704-2021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44504</v>
      </c>
      <c r="E182" s="1" t="n">
        <v>46307</v>
      </c>
      <c r="F182" t="inlineStr">
        <is>
          <t>KRONOBERGS LÄN</t>
        </is>
      </c>
      <c r="G182" t="inlineStr">
        <is>
          <t>ALVESTA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45267</v>
      </c>
      <c r="E183" s="1" t="n">
        <v>46307</v>
      </c>
      <c r="F183" t="inlineStr">
        <is>
          <t>KRONOBERGS LÄN</t>
        </is>
      </c>
      <c r="G183" t="inlineStr">
        <is>
          <t>ALVESTA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6838-2024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46307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45804</v>
      </c>
      <c r="E185" s="1" t="n">
        <v>46307</v>
      </c>
      <c r="F185" t="inlineStr">
        <is>
          <t>KRONOBERGS LÄN</t>
        </is>
      </c>
      <c r="G185" t="inlineStr">
        <is>
          <t>ALVESTA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46307</v>
      </c>
      <c r="F186" t="inlineStr">
        <is>
          <t>KRONOBERGS LÄN</t>
        </is>
      </c>
      <c r="G186" t="inlineStr">
        <is>
          <t>ALVESTA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45530</v>
      </c>
      <c r="E187" s="1" t="n">
        <v>46307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46307</v>
      </c>
      <c r="F188" t="inlineStr">
        <is>
          <t>KRONOBERGS LÄN</t>
        </is>
      </c>
      <c r="G188" t="inlineStr">
        <is>
          <t>ALVESTA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46307</v>
      </c>
      <c r="F189" t="inlineStr">
        <is>
          <t>KRONOBERGS LÄN</t>
        </is>
      </c>
      <c r="G189" t="inlineStr">
        <is>
          <t>ALVESTA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46307</v>
      </c>
      <c r="F190" t="inlineStr">
        <is>
          <t>KRONOBERGS LÄN</t>
        </is>
      </c>
      <c r="G190" t="inlineStr">
        <is>
          <t>ALVESTA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46307</v>
      </c>
      <c r="F191" t="inlineStr">
        <is>
          <t>KRONOBERGS LÄN</t>
        </is>
      </c>
      <c r="G191" t="inlineStr">
        <is>
          <t>ALVESTA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62645-2022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44925</v>
      </c>
      <c r="E192" s="1" t="n">
        <v>46307</v>
      </c>
      <c r="F192" t="inlineStr">
        <is>
          <t>KRONOBERGS LÄN</t>
        </is>
      </c>
      <c r="G192" t="inlineStr">
        <is>
          <t>ALVESTA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46307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9244-2024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45358</v>
      </c>
      <c r="E194" s="1" t="n">
        <v>46307</v>
      </c>
      <c r="F194" t="inlineStr">
        <is>
          <t>KRONOBERGS LÄN</t>
        </is>
      </c>
      <c r="G194" t="inlineStr">
        <is>
          <t>ALVESTA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46307</v>
      </c>
      <c r="F195" t="inlineStr">
        <is>
          <t>KRONOBERGS LÄN</t>
        </is>
      </c>
      <c r="G195" t="inlineStr">
        <is>
          <t>ALVESTA</t>
        </is>
      </c>
      <c r="H195" t="inlineStr">
        <is>
          <t>Kommuner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46307</v>
      </c>
      <c r="F196" t="inlineStr">
        <is>
          <t>KRONOBERGS LÄN</t>
        </is>
      </c>
      <c r="G196" t="inlineStr">
        <is>
          <t>ALVESTA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44873</v>
      </c>
      <c r="E197" s="1" t="n">
        <v>46307</v>
      </c>
      <c r="F197" t="inlineStr">
        <is>
          <t>KRONOBERGS LÄN</t>
        </is>
      </c>
      <c r="G197" t="inlineStr">
        <is>
          <t>ALVESTA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46307</v>
      </c>
      <c r="F198" t="inlineStr">
        <is>
          <t>KRONOBERGS LÄN</t>
        </is>
      </c>
      <c r="G198" t="inlineStr">
        <is>
          <t>ALVESTA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45463</v>
      </c>
      <c r="E199" s="1" t="n">
        <v>46307</v>
      </c>
      <c r="F199" t="inlineStr">
        <is>
          <t>KRONOBERGS LÄN</t>
        </is>
      </c>
      <c r="G199" t="inlineStr">
        <is>
          <t>ALVESTA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45414</v>
      </c>
      <c r="E200" s="1" t="n">
        <v>46307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46307</v>
      </c>
      <c r="F201" t="inlineStr">
        <is>
          <t>KRONOBERGS LÄN</t>
        </is>
      </c>
      <c r="G201" t="inlineStr">
        <is>
          <t>ALVESTA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37278-2024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45540</v>
      </c>
      <c r="E202" s="1" t="n">
        <v>46307</v>
      </c>
      <c r="F202" t="inlineStr">
        <is>
          <t>KRONOBERGS LÄN</t>
        </is>
      </c>
      <c r="G202" t="inlineStr">
        <is>
          <t>ALVESTA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45904</v>
      </c>
      <c r="E203" s="1" t="n">
        <v>46307</v>
      </c>
      <c r="F203" t="inlineStr">
        <is>
          <t>KRONOBERGS LÄN</t>
        </is>
      </c>
      <c r="G203" t="inlineStr">
        <is>
          <t>ALVESTA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45305</v>
      </c>
      <c r="E204" s="1" t="n">
        <v>46307</v>
      </c>
      <c r="F204" t="inlineStr">
        <is>
          <t>KRONOBERGS LÄN</t>
        </is>
      </c>
      <c r="G204" t="inlineStr">
        <is>
          <t>ALVESTA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46307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29155-2024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45482</v>
      </c>
      <c r="E206" s="1" t="n">
        <v>46307</v>
      </c>
      <c r="F206" t="inlineStr">
        <is>
          <t>KRONOBERGS LÄN</t>
        </is>
      </c>
      <c r="G206" t="inlineStr">
        <is>
          <t>ALVESTA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18680-2023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45043</v>
      </c>
      <c r="E207" s="1" t="n">
        <v>46307</v>
      </c>
      <c r="F207" t="inlineStr">
        <is>
          <t>KRONOBERGS LÄN</t>
        </is>
      </c>
      <c r="G207" t="inlineStr">
        <is>
          <t>ALVESTA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45518</v>
      </c>
      <c r="E208" s="1" t="n">
        <v>46307</v>
      </c>
      <c r="F208" t="inlineStr">
        <is>
          <t>KRONOBERGS LÄN</t>
        </is>
      </c>
      <c r="G208" t="inlineStr">
        <is>
          <t>ALVESTA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46307</v>
      </c>
      <c r="F209" t="inlineStr">
        <is>
          <t>KRONOBERGS LÄN</t>
        </is>
      </c>
      <c r="G209" t="inlineStr">
        <is>
          <t>ALVESTA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38385-2022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46307</v>
      </c>
      <c r="F210" t="inlineStr">
        <is>
          <t>KRONOBERGS LÄN</t>
        </is>
      </c>
      <c r="G210" t="inlineStr">
        <is>
          <t>ALVESTA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20631-2024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46307</v>
      </c>
      <c r="F211" t="inlineStr">
        <is>
          <t>KRONOBERGS LÄN</t>
        </is>
      </c>
      <c r="G211" t="inlineStr">
        <is>
          <t>ALVESTA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17782-2024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45418</v>
      </c>
      <c r="E212" s="1" t="n">
        <v>46307</v>
      </c>
      <c r="F212" t="inlineStr">
        <is>
          <t>KRONOBERGS LÄN</t>
        </is>
      </c>
      <c r="G212" t="inlineStr">
        <is>
          <t>ALVESTA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46307</v>
      </c>
      <c r="F213" t="inlineStr">
        <is>
          <t>KRONOBERGS LÄN</t>
        </is>
      </c>
      <c r="G213" t="inlineStr">
        <is>
          <t>ALVESTA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39501-2024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46307</v>
      </c>
      <c r="F214" t="inlineStr">
        <is>
          <t>KRONOBERGS LÄN</t>
        </is>
      </c>
      <c r="G214" t="inlineStr">
        <is>
          <t>ALVESTA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31074-2023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46307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44656</v>
      </c>
      <c r="E216" s="1" t="n">
        <v>46307</v>
      </c>
      <c r="F216" t="inlineStr">
        <is>
          <t>KRONOBERGS LÄN</t>
        </is>
      </c>
      <c r="G216" t="inlineStr">
        <is>
          <t>ALVESTA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45670</v>
      </c>
      <c r="E217" s="1" t="n">
        <v>46307</v>
      </c>
      <c r="F217" t="inlineStr">
        <is>
          <t>KRONOBERGS LÄN</t>
        </is>
      </c>
      <c r="G217" t="inlineStr">
        <is>
          <t>ALVESTA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46307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44818-2024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45574</v>
      </c>
      <c r="E219" s="1" t="n">
        <v>46307</v>
      </c>
      <c r="F219" t="inlineStr">
        <is>
          <t>KRONOBERGS LÄN</t>
        </is>
      </c>
      <c r="G219" t="inlineStr">
        <is>
          <t>ALVESTA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46307</v>
      </c>
      <c r="F220" t="inlineStr">
        <is>
          <t>KRONOBERGS LÄN</t>
        </is>
      </c>
      <c r="G220" t="inlineStr">
        <is>
          <t>ALVESTA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45563</v>
      </c>
      <c r="E221" s="1" t="n">
        <v>46307</v>
      </c>
      <c r="F221" t="inlineStr">
        <is>
          <t>KRONOBERGS LÄN</t>
        </is>
      </c>
      <c r="G221" t="inlineStr">
        <is>
          <t>ALVESTA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46307</v>
      </c>
      <c r="F222" t="inlineStr">
        <is>
          <t>KRONOBERGS LÄN</t>
        </is>
      </c>
      <c r="G222" t="inlineStr">
        <is>
          <t>ALVESTA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45771</v>
      </c>
      <c r="E223" s="1" t="n">
        <v>46307</v>
      </c>
      <c r="F223" t="inlineStr">
        <is>
          <t>KRONOBERGS LÄN</t>
        </is>
      </c>
      <c r="G223" t="inlineStr">
        <is>
          <t>ALVESTA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19796-2025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45771</v>
      </c>
      <c r="E224" s="1" t="n">
        <v>46307</v>
      </c>
      <c r="F224" t="inlineStr">
        <is>
          <t>KRONOBERGS LÄN</t>
        </is>
      </c>
      <c r="G224" t="inlineStr">
        <is>
          <t>ALVESTA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58301-2024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46307</v>
      </c>
      <c r="F225" t="inlineStr">
        <is>
          <t>KRONOBERGS LÄN</t>
        </is>
      </c>
      <c r="G225" t="inlineStr">
        <is>
          <t>ALVESTA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17787-2024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45418</v>
      </c>
      <c r="E226" s="1" t="n">
        <v>46307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17791-2024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45418</v>
      </c>
      <c r="E227" s="1" t="n">
        <v>46307</v>
      </c>
      <c r="F227" t="inlineStr">
        <is>
          <t>KRONOBERGS LÄN</t>
        </is>
      </c>
      <c r="G227" t="inlineStr">
        <is>
          <t>ALVESTA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9687-2024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45362</v>
      </c>
      <c r="E228" s="1" t="n">
        <v>46307</v>
      </c>
      <c r="F228" t="inlineStr">
        <is>
          <t>KRONOBERGS LÄN</t>
        </is>
      </c>
      <c r="G228" t="inlineStr">
        <is>
          <t>ALVESTA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46307</v>
      </c>
      <c r="F229" t="inlineStr">
        <is>
          <t>KRONOBERGS LÄN</t>
        </is>
      </c>
      <c r="G229" t="inlineStr">
        <is>
          <t>ALVESTA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45616</v>
      </c>
      <c r="E230" s="1" t="n">
        <v>46307</v>
      </c>
      <c r="F230" t="inlineStr">
        <is>
          <t>KRONOBERGS LÄN</t>
        </is>
      </c>
      <c r="G230" t="inlineStr">
        <is>
          <t>ALVESTA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46307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44528-2025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45916</v>
      </c>
      <c r="E232" s="1" t="n">
        <v>46307</v>
      </c>
      <c r="F232" t="inlineStr">
        <is>
          <t>KRONOBERGS LÄN</t>
        </is>
      </c>
      <c r="G232" t="inlineStr">
        <is>
          <t>ALVESTA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53452-2024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46307</v>
      </c>
      <c r="F233" t="inlineStr">
        <is>
          <t>KRONOBERGS LÄN</t>
        </is>
      </c>
      <c r="G233" t="inlineStr">
        <is>
          <t>ALVESTA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45915</v>
      </c>
      <c r="E234" s="1" t="n">
        <v>46307</v>
      </c>
      <c r="F234" t="inlineStr">
        <is>
          <t>KRONOBERGS LÄN</t>
        </is>
      </c>
      <c r="G234" t="inlineStr">
        <is>
          <t>ALVESTA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60157-2024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46307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46307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45161</v>
      </c>
      <c r="E237" s="1" t="n">
        <v>46307</v>
      </c>
      <c r="F237" t="inlineStr">
        <is>
          <t>KRONOBERGS LÄN</t>
        </is>
      </c>
      <c r="G237" t="inlineStr">
        <is>
          <t>ALVESTA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45342</v>
      </c>
      <c r="E238" s="1" t="n">
        <v>46307</v>
      </c>
      <c r="F238" t="inlineStr">
        <is>
          <t>KRONOBERGS LÄN</t>
        </is>
      </c>
      <c r="G238" t="inlineStr">
        <is>
          <t>ALVESTA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7706-2024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46307</v>
      </c>
      <c r="F239" t="inlineStr">
        <is>
          <t>KRONOBERGS LÄN</t>
        </is>
      </c>
      <c r="G239" t="inlineStr">
        <is>
          <t>ALVESTA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45407</v>
      </c>
      <c r="E240" s="1" t="n">
        <v>46307</v>
      </c>
      <c r="F240" t="inlineStr">
        <is>
          <t>KRONOBERGS LÄN</t>
        </is>
      </c>
      <c r="G240" t="inlineStr">
        <is>
          <t>ALVESTA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46307</v>
      </c>
      <c r="F241" t="inlineStr">
        <is>
          <t>KRONOBERGS LÄN</t>
        </is>
      </c>
      <c r="G241" t="inlineStr">
        <is>
          <t>ALVESTA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45447</v>
      </c>
      <c r="E242" s="1" t="n">
        <v>46307</v>
      </c>
      <c r="F242" t="inlineStr">
        <is>
          <t>KRONOBERGS LÄN</t>
        </is>
      </c>
      <c r="G242" t="inlineStr">
        <is>
          <t>ALVESTA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46307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45517</v>
      </c>
      <c r="E244" s="1" t="n">
        <v>46307</v>
      </c>
      <c r="F244" t="inlineStr">
        <is>
          <t>KRONOBERGS LÄN</t>
        </is>
      </c>
      <c r="G244" t="inlineStr">
        <is>
          <t>ALVESTA</t>
        </is>
      </c>
      <c r="H244" t="inlineStr">
        <is>
          <t>Kyrkan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45548</v>
      </c>
      <c r="E245" s="1" t="n">
        <v>46307</v>
      </c>
      <c r="F245" t="inlineStr">
        <is>
          <t>KRONOBERGS LÄN</t>
        </is>
      </c>
      <c r="G245" t="inlineStr">
        <is>
          <t>ALVESTA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45524</v>
      </c>
      <c r="E246" s="1" t="n">
        <v>46307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13648-2024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45390</v>
      </c>
      <c r="E247" s="1" t="n">
        <v>46307</v>
      </c>
      <c r="F247" t="inlineStr">
        <is>
          <t>KRONOBERGS LÄN</t>
        </is>
      </c>
      <c r="G247" t="inlineStr">
        <is>
          <t>ALVESTA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45418</v>
      </c>
      <c r="E248" s="1" t="n">
        <v>46307</v>
      </c>
      <c r="F248" t="inlineStr">
        <is>
          <t>KRONOBERGS LÄN</t>
        </is>
      </c>
      <c r="G248" t="inlineStr">
        <is>
          <t>ALVESTA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52110-2024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46307</v>
      </c>
      <c r="F249" t="inlineStr">
        <is>
          <t>KRONOBERGS LÄN</t>
        </is>
      </c>
      <c r="G249" t="inlineStr">
        <is>
          <t>ALVESTA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9391-2024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46307</v>
      </c>
      <c r="F250" t="inlineStr">
        <is>
          <t>KRONOBERGS LÄN</t>
        </is>
      </c>
      <c r="G250" t="inlineStr">
        <is>
          <t>ALVESTA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46307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45546</v>
      </c>
      <c r="E252" s="1" t="n">
        <v>46307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45699</v>
      </c>
      <c r="E253" s="1" t="n">
        <v>46307</v>
      </c>
      <c r="F253" t="inlineStr">
        <is>
          <t>KRONOBERGS LÄN</t>
        </is>
      </c>
      <c r="G253" t="inlineStr">
        <is>
          <t>ALVESTA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53226-2024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45613</v>
      </c>
      <c r="E254" s="1" t="n">
        <v>46307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46307</v>
      </c>
      <c r="F255" t="inlineStr">
        <is>
          <t>KRONOBERGS LÄN</t>
        </is>
      </c>
      <c r="G255" t="inlineStr">
        <is>
          <t>ALVESTA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46307</v>
      </c>
      <c r="F256" t="inlineStr">
        <is>
          <t>KRONOBERGS LÄN</t>
        </is>
      </c>
      <c r="G256" t="inlineStr">
        <is>
          <t>ALVESTA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46307</v>
      </c>
      <c r="F257" t="inlineStr">
        <is>
          <t>KRONOBERGS LÄN</t>
        </is>
      </c>
      <c r="G257" t="inlineStr">
        <is>
          <t>ALVESTA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35687-2025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45860</v>
      </c>
      <c r="E258" s="1" t="n">
        <v>46307</v>
      </c>
      <c r="F258" t="inlineStr">
        <is>
          <t>KRONOBERGS LÄN</t>
        </is>
      </c>
      <c r="G258" t="inlineStr">
        <is>
          <t>ALVESTA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14133-2023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46307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45456</v>
      </c>
      <c r="E260" s="1" t="n">
        <v>46307</v>
      </c>
      <c r="F260" t="inlineStr">
        <is>
          <t>KRONOBERGS LÄN</t>
        </is>
      </c>
      <c r="G260" t="inlineStr">
        <is>
          <t>ALVESTA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46307</v>
      </c>
      <c r="F261" t="inlineStr">
        <is>
          <t>KRONOBERGS LÄN</t>
        </is>
      </c>
      <c r="G261" t="inlineStr">
        <is>
          <t>ALVESTA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43959-2022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44838</v>
      </c>
      <c r="E262" s="1" t="n">
        <v>46307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44998</v>
      </c>
      <c r="E263" s="1" t="n">
        <v>46307</v>
      </c>
      <c r="F263" t="inlineStr">
        <is>
          <t>KRONOBERGS LÄN</t>
        </is>
      </c>
      <c r="G263" t="inlineStr">
        <is>
          <t>ALVESTA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46307</v>
      </c>
      <c r="F264" t="inlineStr">
        <is>
          <t>KRONOBERGS LÄN</t>
        </is>
      </c>
      <c r="G264" t="inlineStr">
        <is>
          <t>ALVESTA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52087-2024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46307</v>
      </c>
      <c r="F265" t="inlineStr">
        <is>
          <t>KRONOBERGS LÄN</t>
        </is>
      </c>
      <c r="G265" t="inlineStr">
        <is>
          <t>ALVESTA</t>
        </is>
      </c>
      <c r="H265" t="inlineStr">
        <is>
          <t>Övriga Aktiebolag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45705</v>
      </c>
      <c r="E266" s="1" t="n">
        <v>46307</v>
      </c>
      <c r="F266" t="inlineStr">
        <is>
          <t>KRONOBERGS LÄN</t>
        </is>
      </c>
      <c r="G266" t="inlineStr">
        <is>
          <t>ALVESTA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46307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45447</v>
      </c>
      <c r="E268" s="1" t="n">
        <v>46307</v>
      </c>
      <c r="F268" t="inlineStr">
        <is>
          <t>KRONOBERGS LÄN</t>
        </is>
      </c>
      <c r="G268" t="inlineStr">
        <is>
          <t>ALVESTA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46307</v>
      </c>
      <c r="F269" t="inlineStr">
        <is>
          <t>KRONOBERGS LÄN</t>
        </is>
      </c>
      <c r="G269" t="inlineStr">
        <is>
          <t>ALVESTA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45363</v>
      </c>
      <c r="E270" s="1" t="n">
        <v>46307</v>
      </c>
      <c r="F270" t="inlineStr">
        <is>
          <t>KRONOBERGS LÄN</t>
        </is>
      </c>
      <c r="G270" t="inlineStr">
        <is>
          <t>ALVESTA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45565</v>
      </c>
      <c r="E271" s="1" t="n">
        <v>46307</v>
      </c>
      <c r="F271" t="inlineStr">
        <is>
          <t>KRONOBERGS LÄN</t>
        </is>
      </c>
      <c r="G271" t="inlineStr">
        <is>
          <t>ALVESTA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45114</v>
      </c>
      <c r="E272" s="1" t="n">
        <v>46307</v>
      </c>
      <c r="F272" t="inlineStr">
        <is>
          <t>KRONOBERGS LÄN</t>
        </is>
      </c>
      <c r="G272" t="inlineStr">
        <is>
          <t>ALVESTA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44569</v>
      </c>
      <c r="E273" s="1" t="n">
        <v>46307</v>
      </c>
      <c r="F273" t="inlineStr">
        <is>
          <t>KRONOBERGS LÄN</t>
        </is>
      </c>
      <c r="G273" t="inlineStr">
        <is>
          <t>ALVESTA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46307</v>
      </c>
      <c r="F274" t="inlineStr">
        <is>
          <t>KRONOBERGS LÄN</t>
        </is>
      </c>
      <c r="G274" t="inlineStr">
        <is>
          <t>ALVESTA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12818-2025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45733</v>
      </c>
      <c r="E275" s="1" t="n">
        <v>46307</v>
      </c>
      <c r="F275" t="inlineStr">
        <is>
          <t>KRONOBERGS LÄN</t>
        </is>
      </c>
      <c r="G275" t="inlineStr">
        <is>
          <t>ALVESTA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47051-2025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45929</v>
      </c>
      <c r="E276" s="1" t="n">
        <v>46307</v>
      </c>
      <c r="F276" t="inlineStr">
        <is>
          <t>KRONOBERGS LÄN</t>
        </is>
      </c>
      <c r="G276" t="inlineStr">
        <is>
          <t>ALVESTA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46307</v>
      </c>
      <c r="F277" t="inlineStr">
        <is>
          <t>KRONOBERGS LÄN</t>
        </is>
      </c>
      <c r="G277" t="inlineStr">
        <is>
          <t>ALVESTA</t>
        </is>
      </c>
      <c r="H277" t="inlineStr">
        <is>
          <t>Kommuner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46307</v>
      </c>
      <c r="F278" t="inlineStr">
        <is>
          <t>KRONOBERGS LÄN</t>
        </is>
      </c>
      <c r="G278" t="inlineStr">
        <is>
          <t>ALVESTA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7627-2023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46307</v>
      </c>
      <c r="F279" t="inlineStr">
        <is>
          <t>KRONOBERGS LÄN</t>
        </is>
      </c>
      <c r="G279" t="inlineStr">
        <is>
          <t>ALVESTA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37940-2024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45544</v>
      </c>
      <c r="E280" s="1" t="n">
        <v>46307</v>
      </c>
      <c r="F280" t="inlineStr">
        <is>
          <t>KRONOBERGS LÄN</t>
        </is>
      </c>
      <c r="G280" t="inlineStr">
        <is>
          <t>ALVESTA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46307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6370-2024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45338</v>
      </c>
      <c r="E282" s="1" t="n">
        <v>46307</v>
      </c>
      <c r="F282" t="inlineStr">
        <is>
          <t>KRONOBERGS LÄN</t>
        </is>
      </c>
      <c r="G282" t="inlineStr">
        <is>
          <t>ALVESTA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45471</v>
      </c>
      <c r="E283" s="1" t="n">
        <v>46307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45471</v>
      </c>
      <c r="E284" s="1" t="n">
        <v>46307</v>
      </c>
      <c r="F284" t="inlineStr">
        <is>
          <t>KRONOBERGS LÄN</t>
        </is>
      </c>
      <c r="G284" t="inlineStr">
        <is>
          <t>ALVESTA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52040-2024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46307</v>
      </c>
      <c r="F285" t="inlineStr">
        <is>
          <t>KRONOBERGS LÄN</t>
        </is>
      </c>
      <c r="G285" t="inlineStr">
        <is>
          <t>ALVESTA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6365-2024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45338</v>
      </c>
      <c r="E286" s="1" t="n">
        <v>46307</v>
      </c>
      <c r="F286" t="inlineStr">
        <is>
          <t>KRONOBERGS LÄN</t>
        </is>
      </c>
      <c r="G286" t="inlineStr">
        <is>
          <t>ALVESTA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6368-2024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46307</v>
      </c>
      <c r="F287" t="inlineStr">
        <is>
          <t>KRONOBERGS LÄN</t>
        </is>
      </c>
      <c r="G287" t="inlineStr">
        <is>
          <t>ALVESTA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45345</v>
      </c>
      <c r="E288" s="1" t="n">
        <v>46307</v>
      </c>
      <c r="F288" t="inlineStr">
        <is>
          <t>KRONOBERGS LÄN</t>
        </is>
      </c>
      <c r="G288" t="inlineStr">
        <is>
          <t>ALVESTA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46307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25220-2025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45798</v>
      </c>
      <c r="E290" s="1" t="n">
        <v>46307</v>
      </c>
      <c r="F290" t="inlineStr">
        <is>
          <t>KRONOBERGS LÄN</t>
        </is>
      </c>
      <c r="G290" t="inlineStr">
        <is>
          <t>ALVESTA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46307</v>
      </c>
      <c r="F291" t="inlineStr">
        <is>
          <t>KRONOBERGS LÄN</t>
        </is>
      </c>
      <c r="G291" t="inlineStr">
        <is>
          <t>ALVESTA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67331-2021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46307</v>
      </c>
      <c r="F292" t="inlineStr">
        <is>
          <t>KRONOBERGS LÄN</t>
        </is>
      </c>
      <c r="G292" t="inlineStr">
        <is>
          <t>ALVESTA</t>
        </is>
      </c>
      <c r="I292" t="n">
        <v>6.4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44581</v>
      </c>
      <c r="E293" s="1" t="n">
        <v>46307</v>
      </c>
      <c r="F293" t="inlineStr">
        <is>
          <t>KRONOBERGS LÄN</t>
        </is>
      </c>
      <c r="G293" t="inlineStr">
        <is>
          <t>ALVESTA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45015</v>
      </c>
      <c r="E294" s="1" t="n">
        <v>46307</v>
      </c>
      <c r="F294" t="inlineStr">
        <is>
          <t>KRONOBERGS LÄN</t>
        </is>
      </c>
      <c r="G294" t="inlineStr">
        <is>
          <t>ALVESTA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45608</v>
      </c>
      <c r="E295" s="1" t="n">
        <v>46307</v>
      </c>
      <c r="F295" t="inlineStr">
        <is>
          <t>KRONOBERGS LÄN</t>
        </is>
      </c>
      <c r="G295" t="inlineStr">
        <is>
          <t>ALVESTA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17737-2024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46307</v>
      </c>
      <c r="F296" t="inlineStr">
        <is>
          <t>KRONOBERGS LÄN</t>
        </is>
      </c>
      <c r="G296" t="inlineStr">
        <is>
          <t>ALVESTA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45391</v>
      </c>
      <c r="E297" s="1" t="n">
        <v>46307</v>
      </c>
      <c r="F297" t="inlineStr">
        <is>
          <t>KRONOBERGS LÄN</t>
        </is>
      </c>
      <c r="G297" t="inlineStr">
        <is>
          <t>ALVESTA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44490</v>
      </c>
      <c r="E298" s="1" t="n">
        <v>46307</v>
      </c>
      <c r="F298" t="inlineStr">
        <is>
          <t>KRONOBERGS LÄN</t>
        </is>
      </c>
      <c r="G298" t="inlineStr">
        <is>
          <t>ALVESTA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33222-2024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45518</v>
      </c>
      <c r="E299" s="1" t="n">
        <v>46307</v>
      </c>
      <c r="F299" t="inlineStr">
        <is>
          <t>KRONOBERGS LÄN</t>
        </is>
      </c>
      <c r="G299" t="inlineStr">
        <is>
          <t>ALVESTA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42905-2023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46307</v>
      </c>
      <c r="F300" t="inlineStr">
        <is>
          <t>KRONOBERGS LÄN</t>
        </is>
      </c>
      <c r="G300" t="inlineStr">
        <is>
          <t>ALVESTA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46307</v>
      </c>
      <c r="F301" t="inlineStr">
        <is>
          <t>KRONOBERGS LÄN</t>
        </is>
      </c>
      <c r="G301" t="inlineStr">
        <is>
          <t>ALVESTA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9674-2024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45362</v>
      </c>
      <c r="E302" s="1" t="n">
        <v>46307</v>
      </c>
      <c r="F302" t="inlineStr">
        <is>
          <t>KRONOBERGS LÄN</t>
        </is>
      </c>
      <c r="G302" t="inlineStr">
        <is>
          <t>ALVESTA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45800</v>
      </c>
      <c r="E303" s="1" t="n">
        <v>46307</v>
      </c>
      <c r="F303" t="inlineStr">
        <is>
          <t>KRONOBERGS LÄN</t>
        </is>
      </c>
      <c r="G303" t="inlineStr">
        <is>
          <t>ALVESTA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6489-2022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44601</v>
      </c>
      <c r="E304" s="1" t="n">
        <v>46307</v>
      </c>
      <c r="F304" t="inlineStr">
        <is>
          <t>KRONOBERGS LÄN</t>
        </is>
      </c>
      <c r="G304" t="inlineStr">
        <is>
          <t>ALVESTA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48143-2025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46307</v>
      </c>
      <c r="F305" t="inlineStr">
        <is>
          <t>KRONOBERGS LÄN</t>
        </is>
      </c>
      <c r="G305" t="inlineStr">
        <is>
          <t>ALVESTA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46307</v>
      </c>
      <c r="F306" t="inlineStr">
        <is>
          <t>KRONOBERGS LÄN</t>
        </is>
      </c>
      <c r="G306" t="inlineStr">
        <is>
          <t>ALVESTA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46307</v>
      </c>
      <c r="F307" t="inlineStr">
        <is>
          <t>KRONOBERGS LÄN</t>
        </is>
      </c>
      <c r="G307" t="inlineStr">
        <is>
          <t>ALVESTA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21438-2025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46307</v>
      </c>
      <c r="F308" t="inlineStr">
        <is>
          <t>KRONOBERGS LÄN</t>
        </is>
      </c>
      <c r="G308" t="inlineStr">
        <is>
          <t>ALVESTA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38765-2022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44816</v>
      </c>
      <c r="E309" s="1" t="n">
        <v>46307</v>
      </c>
      <c r="F309" t="inlineStr">
        <is>
          <t>KRONOBERGS LÄN</t>
        </is>
      </c>
      <c r="G309" t="inlineStr">
        <is>
          <t>ALVESTA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45476</v>
      </c>
      <c r="E310" s="1" t="n">
        <v>46307</v>
      </c>
      <c r="F310" t="inlineStr">
        <is>
          <t>KRONOBERGS LÄN</t>
        </is>
      </c>
      <c r="G310" t="inlineStr">
        <is>
          <t>ALVESTA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46307</v>
      </c>
      <c r="F311" t="inlineStr">
        <is>
          <t>KRONOBERGS LÄN</t>
        </is>
      </c>
      <c r="G311" t="inlineStr">
        <is>
          <t>ALVESTA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60487-2023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45259</v>
      </c>
      <c r="E312" s="1" t="n">
        <v>46307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50871-2023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46307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12065-2025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46307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27034-2023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45095</v>
      </c>
      <c r="E315" s="1" t="n">
        <v>46307</v>
      </c>
      <c r="F315" t="inlineStr">
        <is>
          <t>KRONOBERGS LÄN</t>
        </is>
      </c>
      <c r="G315" t="inlineStr">
        <is>
          <t>ALVESTA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32759-2022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46307</v>
      </c>
      <c r="F316" t="inlineStr">
        <is>
          <t>KRONOBERGS LÄN</t>
        </is>
      </c>
      <c r="G316" t="inlineStr">
        <is>
          <t>ALVESTA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15262-2024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45400</v>
      </c>
      <c r="E317" s="1" t="n">
        <v>46307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46307</v>
      </c>
      <c r="F318" t="inlineStr">
        <is>
          <t>KRONOBERGS LÄN</t>
        </is>
      </c>
      <c r="G318" t="inlineStr">
        <is>
          <t>ALVESTA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46307</v>
      </c>
      <c r="F319" t="inlineStr">
        <is>
          <t>KRONOBERGS LÄN</t>
        </is>
      </c>
      <c r="G319" t="inlineStr">
        <is>
          <t>ALVESTA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26971-2025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46307</v>
      </c>
      <c r="F320" t="inlineStr">
        <is>
          <t>KRONOBERGS LÄN</t>
        </is>
      </c>
      <c r="G320" t="inlineStr">
        <is>
          <t>ALVESTA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46307</v>
      </c>
      <c r="F321" t="inlineStr">
        <is>
          <t>KRONOBERGS LÄN</t>
        </is>
      </c>
      <c r="G321" t="inlineStr">
        <is>
          <t>ALVESTA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46307</v>
      </c>
      <c r="F322" t="inlineStr">
        <is>
          <t>KRONOBERGS LÄN</t>
        </is>
      </c>
      <c r="G322" t="inlineStr">
        <is>
          <t>ALVESTA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52082-2024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45608</v>
      </c>
      <c r="E323" s="1" t="n">
        <v>46307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45068</v>
      </c>
      <c r="E324" s="1" t="n">
        <v>46307</v>
      </c>
      <c r="F324" t="inlineStr">
        <is>
          <t>KRONOBERGS LÄN</t>
        </is>
      </c>
      <c r="G324" t="inlineStr">
        <is>
          <t>ALVESTA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46307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26381-2022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44735</v>
      </c>
      <c r="E326" s="1" t="n">
        <v>46307</v>
      </c>
      <c r="F326" t="inlineStr">
        <is>
          <t>KRONOBERGS LÄN</t>
        </is>
      </c>
      <c r="G326" t="inlineStr">
        <is>
          <t>ALVESTA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61902-2024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45653</v>
      </c>
      <c r="E327" s="1" t="n">
        <v>46307</v>
      </c>
      <c r="F327" t="inlineStr">
        <is>
          <t>KRONOBERGS LÄN</t>
        </is>
      </c>
      <c r="G327" t="inlineStr">
        <is>
          <t>ALVESTA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12834-2024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45384</v>
      </c>
      <c r="E328" s="1" t="n">
        <v>46307</v>
      </c>
      <c r="F328" t="inlineStr">
        <is>
          <t>KRONOBERGS LÄN</t>
        </is>
      </c>
      <c r="G328" t="inlineStr">
        <is>
          <t>ALVESTA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18836-2024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45426</v>
      </c>
      <c r="E329" s="1" t="n">
        <v>46307</v>
      </c>
      <c r="F329" t="inlineStr">
        <is>
          <t>KRONOBERGS LÄN</t>
        </is>
      </c>
      <c r="G329" t="inlineStr">
        <is>
          <t>ALVESTA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46307</v>
      </c>
      <c r="F330" t="inlineStr">
        <is>
          <t>KRONOBERGS LÄN</t>
        </is>
      </c>
      <c r="G330" t="inlineStr">
        <is>
          <t>ALVESTA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29313-2025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45824</v>
      </c>
      <c r="E331" s="1" t="n">
        <v>46307</v>
      </c>
      <c r="F331" t="inlineStr">
        <is>
          <t>KRONOBERGS LÄN</t>
        </is>
      </c>
      <c r="G331" t="inlineStr">
        <is>
          <t>ALVESTA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37117-2023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46307</v>
      </c>
      <c r="F332" t="inlineStr">
        <is>
          <t>KRONOBERGS LÄN</t>
        </is>
      </c>
      <c r="G332" t="inlineStr">
        <is>
          <t>ALVESTA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46307</v>
      </c>
      <c r="F333" t="inlineStr">
        <is>
          <t>KRONOBERGS LÄN</t>
        </is>
      </c>
      <c r="G333" t="inlineStr">
        <is>
          <t>ALVESTA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45825</v>
      </c>
      <c r="E334" s="1" t="n">
        <v>46307</v>
      </c>
      <c r="F334" t="inlineStr">
        <is>
          <t>KRONOBERGS LÄN</t>
        </is>
      </c>
      <c r="G334" t="inlineStr">
        <is>
          <t>ALVESTA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25945-2023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46307</v>
      </c>
      <c r="F335" t="inlineStr">
        <is>
          <t>KRONOBERGS LÄN</t>
        </is>
      </c>
      <c r="G335" t="inlineStr">
        <is>
          <t>ALVESTA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47885-2023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46307</v>
      </c>
      <c r="F336" t="inlineStr">
        <is>
          <t>KRONOBERGS LÄN</t>
        </is>
      </c>
      <c r="G336" t="inlineStr">
        <is>
          <t>ALVESTA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46307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23126-2023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46307</v>
      </c>
      <c r="F338" t="inlineStr">
        <is>
          <t>KRONOBERGS LÄN</t>
        </is>
      </c>
      <c r="G338" t="inlineStr">
        <is>
          <t>ALVESTA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10861-2023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44991</v>
      </c>
      <c r="E339" s="1" t="n">
        <v>46307</v>
      </c>
      <c r="F339" t="inlineStr">
        <is>
          <t>KRONOBERGS LÄN</t>
        </is>
      </c>
      <c r="G339" t="inlineStr">
        <is>
          <t>ALVESTA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45079</v>
      </c>
      <c r="E340" s="1" t="n">
        <v>46307</v>
      </c>
      <c r="F340" t="inlineStr">
        <is>
          <t>KRONOBERGS LÄN</t>
        </is>
      </c>
      <c r="G340" t="inlineStr">
        <is>
          <t>ALVESTA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46307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46307</v>
      </c>
      <c r="F342" t="inlineStr">
        <is>
          <t>KRONOBERGS LÄN</t>
        </is>
      </c>
      <c r="G342" t="inlineStr">
        <is>
          <t>ALVESTA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27731-2022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46307</v>
      </c>
      <c r="F343" t="inlineStr">
        <is>
          <t>KRONOBERGS LÄN</t>
        </is>
      </c>
      <c r="G343" t="inlineStr">
        <is>
          <t>ALVESTA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26225-2022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44735</v>
      </c>
      <c r="E344" s="1" t="n">
        <v>46307</v>
      </c>
      <c r="F344" t="inlineStr">
        <is>
          <t>KRONOBERGS LÄN</t>
        </is>
      </c>
      <c r="G344" t="inlineStr">
        <is>
          <t>ALVESTA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45153</v>
      </c>
      <c r="E345" s="1" t="n">
        <v>46307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45153</v>
      </c>
      <c r="E346" s="1" t="n">
        <v>46307</v>
      </c>
      <c r="F346" t="inlineStr">
        <is>
          <t>KRONOBERGS LÄN</t>
        </is>
      </c>
      <c r="G346" t="inlineStr">
        <is>
          <t>ALVESTA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52557-2025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45954</v>
      </c>
      <c r="E347" s="1" t="n">
        <v>46307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31094-2025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45831</v>
      </c>
      <c r="E348" s="1" t="n">
        <v>46307</v>
      </c>
      <c r="F348" t="inlineStr">
        <is>
          <t>KRONOBERGS LÄN</t>
        </is>
      </c>
      <c r="G348" t="inlineStr">
        <is>
          <t>ALVESTA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45769</v>
      </c>
      <c r="E349" s="1" t="n">
        <v>46307</v>
      </c>
      <c r="F349" t="inlineStr">
        <is>
          <t>KRONOBERGS LÄN</t>
        </is>
      </c>
      <c r="G349" t="inlineStr">
        <is>
          <t>ALVESTA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31754-2025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46307</v>
      </c>
      <c r="F350" t="inlineStr">
        <is>
          <t>KRONOBERGS LÄN</t>
        </is>
      </c>
      <c r="G350" t="inlineStr">
        <is>
          <t>ALVESTA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31790-2025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45834</v>
      </c>
      <c r="E351" s="1" t="n">
        <v>46307</v>
      </c>
      <c r="F351" t="inlineStr">
        <is>
          <t>KRONOBERGS LÄN</t>
        </is>
      </c>
      <c r="G351" t="inlineStr">
        <is>
          <t>ALVESTA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31439-2025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45833</v>
      </c>
      <c r="E352" s="1" t="n">
        <v>46307</v>
      </c>
      <c r="F352" t="inlineStr">
        <is>
          <t>KRONOBERGS LÄN</t>
        </is>
      </c>
      <c r="G352" t="inlineStr">
        <is>
          <t>ALVESTA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36862-2022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44805</v>
      </c>
      <c r="E353" s="1" t="n">
        <v>46307</v>
      </c>
      <c r="F353" t="inlineStr">
        <is>
          <t>KRONOBERGS LÄN</t>
        </is>
      </c>
      <c r="G353" t="inlineStr">
        <is>
          <t>ALVESTA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46307</v>
      </c>
      <c r="F354" t="inlineStr">
        <is>
          <t>KRONOBERGS LÄN</t>
        </is>
      </c>
      <c r="G354" t="inlineStr">
        <is>
          <t>ALVESTA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54015-2023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45231</v>
      </c>
      <c r="E355" s="1" t="n">
        <v>46307</v>
      </c>
      <c r="F355" t="inlineStr">
        <is>
          <t>KRONOBERGS LÄN</t>
        </is>
      </c>
      <c r="G355" t="inlineStr">
        <is>
          <t>ALVESTA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46307</v>
      </c>
      <c r="F356" t="inlineStr">
        <is>
          <t>KRONOBERGS LÄN</t>
        </is>
      </c>
      <c r="G356" t="inlineStr">
        <is>
          <t>ALVESTA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39263-2023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45166</v>
      </c>
      <c r="E357" s="1" t="n">
        <v>46307</v>
      </c>
      <c r="F357" t="inlineStr">
        <is>
          <t>KRONOBERGS LÄN</t>
        </is>
      </c>
      <c r="G357" t="inlineStr">
        <is>
          <t>ALVESTA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45965</v>
      </c>
      <c r="E358" s="1" t="n">
        <v>46307</v>
      </c>
      <c r="F358" t="inlineStr">
        <is>
          <t>KRONOBERGS LÄN</t>
        </is>
      </c>
      <c r="G358" t="inlineStr">
        <is>
          <t>ALVESTA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39309-2023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45166</v>
      </c>
      <c r="E359" s="1" t="n">
        <v>46307</v>
      </c>
      <c r="F359" t="inlineStr">
        <is>
          <t>KRONOBERGS LÄN</t>
        </is>
      </c>
      <c r="G359" t="inlineStr">
        <is>
          <t>ALVESTA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54383-2025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46307</v>
      </c>
      <c r="F360" t="inlineStr">
        <is>
          <t>KRONOBERGS LÄN</t>
        </is>
      </c>
      <c r="G360" t="inlineStr">
        <is>
          <t>ALVESTA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54390-2025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46307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45385</v>
      </c>
      <c r="E362" s="1" t="n">
        <v>46307</v>
      </c>
      <c r="F362" t="inlineStr">
        <is>
          <t>KRONOBERGS LÄN</t>
        </is>
      </c>
      <c r="G362" t="inlineStr">
        <is>
          <t>ALVESTA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65094-2023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45288</v>
      </c>
      <c r="E363" s="1" t="n">
        <v>46307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28336-2022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44747</v>
      </c>
      <c r="E364" s="1" t="n">
        <v>46307</v>
      </c>
      <c r="F364" t="inlineStr">
        <is>
          <t>KRONOBERGS LÄN</t>
        </is>
      </c>
      <c r="G364" t="inlineStr">
        <is>
          <t>ALVESTA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45308</v>
      </c>
      <c r="E365" s="1" t="n">
        <v>46307</v>
      </c>
      <c r="F365" t="inlineStr">
        <is>
          <t>KRONOBERGS LÄN</t>
        </is>
      </c>
      <c r="G365" t="inlineStr">
        <is>
          <t>ALVESTA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46307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36182-2023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45149</v>
      </c>
      <c r="E367" s="1" t="n">
        <v>46307</v>
      </c>
      <c r="F367" t="inlineStr">
        <is>
          <t>KRONOBERGS LÄN</t>
        </is>
      </c>
      <c r="G367" t="inlineStr">
        <is>
          <t>ALVESTA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46307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45614</v>
      </c>
      <c r="E369" s="1" t="n">
        <v>46307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45135</v>
      </c>
      <c r="E370" s="1" t="n">
        <v>46307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45166</v>
      </c>
      <c r="E371" s="1" t="n">
        <v>46307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32760-2022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44783</v>
      </c>
      <c r="E372" s="1" t="n">
        <v>46307</v>
      </c>
      <c r="F372" t="inlineStr">
        <is>
          <t>KRONOBERGS LÄN</t>
        </is>
      </c>
      <c r="G372" t="inlineStr">
        <is>
          <t>ALVESTA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33617-2025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45841</v>
      </c>
      <c r="E373" s="1" t="n">
        <v>46307</v>
      </c>
      <c r="F373" t="inlineStr">
        <is>
          <t>KRONOBERGS LÄN</t>
        </is>
      </c>
      <c r="G373" t="inlineStr">
        <is>
          <t>ALVESTA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34126-2023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45135</v>
      </c>
      <c r="E374" s="1" t="n">
        <v>46307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38859-2023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46307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46307</v>
      </c>
      <c r="F376" t="inlineStr">
        <is>
          <t>KRONOBERGS LÄN</t>
        </is>
      </c>
      <c r="G376" t="inlineStr">
        <is>
          <t>ALVESTA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45673</v>
      </c>
      <c r="E377" s="1" t="n">
        <v>46307</v>
      </c>
      <c r="F377" t="inlineStr">
        <is>
          <t>KRONOBERGS LÄN</t>
        </is>
      </c>
      <c r="G377" t="inlineStr">
        <is>
          <t>ALVESTA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45664</v>
      </c>
      <c r="E378" s="1" t="n">
        <v>46307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45635</v>
      </c>
      <c r="E379" s="1" t="n">
        <v>46307</v>
      </c>
      <c r="F379" t="inlineStr">
        <is>
          <t>KRONOBERGS LÄN</t>
        </is>
      </c>
      <c r="G379" t="inlineStr">
        <is>
          <t>ALVESTA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46307</v>
      </c>
      <c r="F380" t="inlineStr">
        <is>
          <t>KRONOBERGS LÄN</t>
        </is>
      </c>
      <c r="G380" t="inlineStr">
        <is>
          <t>ALVESTA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45005</v>
      </c>
      <c r="E381" s="1" t="n">
        <v>46307</v>
      </c>
      <c r="F381" t="inlineStr">
        <is>
          <t>KRONOBERGS LÄN</t>
        </is>
      </c>
      <c r="G381" t="inlineStr">
        <is>
          <t>ALVESTA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45847</v>
      </c>
      <c r="E382" s="1" t="n">
        <v>46307</v>
      </c>
      <c r="F382" t="inlineStr">
        <is>
          <t>KRONOBERGS LÄN</t>
        </is>
      </c>
      <c r="G382" t="inlineStr">
        <is>
          <t>ALVESTA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45629</v>
      </c>
      <c r="E383" s="1" t="n">
        <v>46307</v>
      </c>
      <c r="F383" t="inlineStr">
        <is>
          <t>KRONOBERGS LÄN</t>
        </is>
      </c>
      <c r="G383" t="inlineStr">
        <is>
          <t>ALVESTA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45852</v>
      </c>
      <c r="E384" s="1" t="n">
        <v>46307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44820</v>
      </c>
      <c r="E385" s="1" t="n">
        <v>46307</v>
      </c>
      <c r="F385" t="inlineStr">
        <is>
          <t>KRONOBERGS LÄN</t>
        </is>
      </c>
      <c r="G385" t="inlineStr">
        <is>
          <t>ALVESTA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46307</v>
      </c>
      <c r="F386" t="inlineStr">
        <is>
          <t>KRONOBERGS LÄN</t>
        </is>
      </c>
      <c r="G386" t="inlineStr">
        <is>
          <t>ALVESTA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50629-2023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46307</v>
      </c>
      <c r="F387" t="inlineStr">
        <is>
          <t>KRONOBERGS LÄN</t>
        </is>
      </c>
      <c r="G387" t="inlineStr">
        <is>
          <t>ALVESTA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60770-2024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46307</v>
      </c>
      <c r="F388" t="inlineStr">
        <is>
          <t>KRONOBERGS LÄN</t>
        </is>
      </c>
      <c r="G388" t="inlineStr">
        <is>
          <t>ALVESTA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46307</v>
      </c>
      <c r="F389" t="inlineStr">
        <is>
          <t>KRONOBERGS LÄN</t>
        </is>
      </c>
      <c r="G389" t="inlineStr">
        <is>
          <t>ALVESTA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60202-2021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44495</v>
      </c>
      <c r="E390" s="1" t="n">
        <v>46307</v>
      </c>
      <c r="F390" t="inlineStr">
        <is>
          <t>KRONOBERGS LÄN</t>
        </is>
      </c>
      <c r="G390" t="inlineStr">
        <is>
          <t>ALVESTA</t>
        </is>
      </c>
      <c r="I390" t="n">
        <v>8.800000000000001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38909-2024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45547</v>
      </c>
      <c r="E391" s="1" t="n">
        <v>46307</v>
      </c>
      <c r="F391" t="inlineStr">
        <is>
          <t>KRONOBERGS LÄN</t>
        </is>
      </c>
      <c r="G391" t="inlineStr">
        <is>
          <t>ALVESTA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56832-2024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45628</v>
      </c>
      <c r="E392" s="1" t="n">
        <v>46307</v>
      </c>
      <c r="F392" t="inlineStr">
        <is>
          <t>KRONOBERGS LÄN</t>
        </is>
      </c>
      <c r="G392" t="inlineStr">
        <is>
          <t>ALVESTA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45113</v>
      </c>
      <c r="E393" s="1" t="n">
        <v>46307</v>
      </c>
      <c r="F393" t="inlineStr">
        <is>
          <t>KRONOBERGS LÄN</t>
        </is>
      </c>
      <c r="G393" t="inlineStr">
        <is>
          <t>ALVESTA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45336</v>
      </c>
      <c r="E394" s="1" t="n">
        <v>46307</v>
      </c>
      <c r="F394" t="inlineStr">
        <is>
          <t>KRONOBERGS LÄN</t>
        </is>
      </c>
      <c r="G394" t="inlineStr">
        <is>
          <t>ALVESTA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45593</v>
      </c>
      <c r="E395" s="1" t="n">
        <v>46307</v>
      </c>
      <c r="F395" t="inlineStr">
        <is>
          <t>KRONOBERGS LÄN</t>
        </is>
      </c>
      <c r="G395" t="inlineStr">
        <is>
          <t>ALVESTA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45349</v>
      </c>
      <c r="E396" s="1" t="n">
        <v>46307</v>
      </c>
      <c r="F396" t="inlineStr">
        <is>
          <t>KRONOBERGS LÄN</t>
        </is>
      </c>
      <c r="G396" t="inlineStr">
        <is>
          <t>ALVESTA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9673-2024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45362</v>
      </c>
      <c r="E397" s="1" t="n">
        <v>46307</v>
      </c>
      <c r="F397" t="inlineStr">
        <is>
          <t>KRONOBERGS LÄN</t>
        </is>
      </c>
      <c r="G397" t="inlineStr">
        <is>
          <t>ALVESTA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56779-2025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46307</v>
      </c>
      <c r="F398" t="inlineStr">
        <is>
          <t>KRONOBERGS LÄN</t>
        </is>
      </c>
      <c r="G398" t="inlineStr">
        <is>
          <t>ALVESTA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45868</v>
      </c>
      <c r="E399" s="1" t="n">
        <v>46307</v>
      </c>
      <c r="F399" t="inlineStr">
        <is>
          <t>KRONOBERGS LÄN</t>
        </is>
      </c>
      <c r="G399" t="inlineStr">
        <is>
          <t>ALVESTA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45467</v>
      </c>
      <c r="E400" s="1" t="n">
        <v>46307</v>
      </c>
      <c r="F400" t="inlineStr">
        <is>
          <t>KRONOBERGS LÄN</t>
        </is>
      </c>
      <c r="G400" t="inlineStr">
        <is>
          <t>ALVESTA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56775-2025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46307</v>
      </c>
      <c r="F401" t="inlineStr">
        <is>
          <t>KRONOBERGS LÄN</t>
        </is>
      </c>
      <c r="G401" t="inlineStr">
        <is>
          <t>ALVESTA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45978</v>
      </c>
      <c r="E402" s="1" t="n">
        <v>46307</v>
      </c>
      <c r="F402" t="inlineStr">
        <is>
          <t>KRONOBERGS LÄN</t>
        </is>
      </c>
      <c r="G402" t="inlineStr">
        <is>
          <t>ALVESTA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45330</v>
      </c>
      <c r="E403" s="1" t="n">
        <v>46307</v>
      </c>
      <c r="F403" t="inlineStr">
        <is>
          <t>KRONOBERGS LÄN</t>
        </is>
      </c>
      <c r="G403" t="inlineStr">
        <is>
          <t>ALVESTA</t>
        </is>
      </c>
      <c r="H403" t="inlineStr">
        <is>
          <t>Övriga Aktiebolag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16271-2022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44670</v>
      </c>
      <c r="E404" s="1" t="n">
        <v>46307</v>
      </c>
      <c r="F404" t="inlineStr">
        <is>
          <t>KRONOBERGS LÄN</t>
        </is>
      </c>
      <c r="G404" t="inlineStr">
        <is>
          <t>ALVESTA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45476</v>
      </c>
      <c r="E405" s="1" t="n">
        <v>46307</v>
      </c>
      <c r="F405" t="inlineStr">
        <is>
          <t>KRONOBERGS LÄN</t>
        </is>
      </c>
      <c r="G405" t="inlineStr">
        <is>
          <t>ALVESTA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46307</v>
      </c>
      <c r="F406" t="inlineStr">
        <is>
          <t>KRONOBERGS LÄN</t>
        </is>
      </c>
      <c r="G406" t="inlineStr">
        <is>
          <t>ALVESTA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46307</v>
      </c>
      <c r="F407" t="inlineStr">
        <is>
          <t>KRONOBERGS LÄN</t>
        </is>
      </c>
      <c r="G407" t="inlineStr">
        <is>
          <t>ALVESTA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50697-2023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45217</v>
      </c>
      <c r="E408" s="1" t="n">
        <v>46307</v>
      </c>
      <c r="F408" t="inlineStr">
        <is>
          <t>KRONOBERGS LÄN</t>
        </is>
      </c>
      <c r="G408" t="inlineStr">
        <is>
          <t>ALVESTA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25261-2024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45462</v>
      </c>
      <c r="E409" s="1" t="n">
        <v>46307</v>
      </c>
      <c r="F409" t="inlineStr">
        <is>
          <t>KRONOBERGS LÄN</t>
        </is>
      </c>
      <c r="G409" t="inlineStr">
        <is>
          <t>ALVESTA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57307-2025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45979</v>
      </c>
      <c r="E410" s="1" t="n">
        <v>46307</v>
      </c>
      <c r="F410" t="inlineStr">
        <is>
          <t>KRONOBERGS LÄN</t>
        </is>
      </c>
      <c r="G410" t="inlineStr">
        <is>
          <t>ALVESTA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37091-2025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45875</v>
      </c>
      <c r="E411" s="1" t="n">
        <v>46307</v>
      </c>
      <c r="F411" t="inlineStr">
        <is>
          <t>KRONOBERGS LÄN</t>
        </is>
      </c>
      <c r="G411" t="inlineStr">
        <is>
          <t>ALVESTA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61285-2023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46307</v>
      </c>
      <c r="F412" t="inlineStr">
        <is>
          <t>KRONOBERGS LÄN</t>
        </is>
      </c>
      <c r="G412" t="inlineStr">
        <is>
          <t>ALVESTA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26573-2023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45092</v>
      </c>
      <c r="E413" s="1" t="n">
        <v>46307</v>
      </c>
      <c r="F413" t="inlineStr">
        <is>
          <t>KRONOBERGS LÄN</t>
        </is>
      </c>
      <c r="G413" t="inlineStr">
        <is>
          <t>ALVESTA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62969-2023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45272</v>
      </c>
      <c r="E414" s="1" t="n">
        <v>46307</v>
      </c>
      <c r="F414" t="inlineStr">
        <is>
          <t>KRONOBERGS LÄN</t>
        </is>
      </c>
      <c r="G414" t="inlineStr">
        <is>
          <t>ALVESTA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46307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57948-2023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46307</v>
      </c>
      <c r="F416" t="inlineStr">
        <is>
          <t>KRONOBERGS LÄN</t>
        </is>
      </c>
      <c r="G416" t="inlineStr">
        <is>
          <t>ALVESTA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39307-2023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46307</v>
      </c>
      <c r="F417" t="inlineStr">
        <is>
          <t>KRONOBERGS LÄN</t>
        </is>
      </c>
      <c r="G417" t="inlineStr">
        <is>
          <t>ALVESTA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46307</v>
      </c>
      <c r="F418" t="inlineStr">
        <is>
          <t>KRONOBERGS LÄN</t>
        </is>
      </c>
      <c r="G418" t="inlineStr">
        <is>
          <t>ALVESTA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14043-2025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45740</v>
      </c>
      <c r="E419" s="1" t="n">
        <v>46307</v>
      </c>
      <c r="F419" t="inlineStr">
        <is>
          <t>KRONOBERGS LÄN</t>
        </is>
      </c>
      <c r="G419" t="inlineStr">
        <is>
          <t>ALVESTA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13811-2026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46307</v>
      </c>
      <c r="F420" t="inlineStr">
        <is>
          <t>KRONOBERGS LÄN</t>
        </is>
      </c>
      <c r="G420" t="inlineStr">
        <is>
          <t>ALVESTA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34149-2023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45136</v>
      </c>
      <c r="E421" s="1" t="n">
        <v>46307</v>
      </c>
      <c r="F421" t="inlineStr">
        <is>
          <t>KRONOBERGS LÄN</t>
        </is>
      </c>
      <c r="G421" t="inlineStr">
        <is>
          <t>ALVESTA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52061-2023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46307</v>
      </c>
      <c r="F422" t="inlineStr">
        <is>
          <t>KRONOBERGS LÄN</t>
        </is>
      </c>
      <c r="G422" t="inlineStr">
        <is>
          <t>ALVESTA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44895</v>
      </c>
      <c r="E423" s="1" t="n">
        <v>46307</v>
      </c>
      <c r="F423" t="inlineStr">
        <is>
          <t>KRONOBERGS LÄN</t>
        </is>
      </c>
      <c r="G423" t="inlineStr">
        <is>
          <t>ALVESTA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49407-2024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46307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45338</v>
      </c>
      <c r="E425" s="1" t="n">
        <v>46307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46307</v>
      </c>
      <c r="F426" t="inlineStr">
        <is>
          <t>KRONOBERGS LÄN</t>
        </is>
      </c>
      <c r="G426" t="inlineStr">
        <is>
          <t>ALVESTA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46307</v>
      </c>
      <c r="F427" t="inlineStr">
        <is>
          <t>KRONOBERGS LÄN</t>
        </is>
      </c>
      <c r="G427" t="inlineStr">
        <is>
          <t>ALVESTA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36750-2022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46307</v>
      </c>
      <c r="F428" t="inlineStr">
        <is>
          <t>KRONOBERGS LÄN</t>
        </is>
      </c>
      <c r="G428" t="inlineStr">
        <is>
          <t>ALVESTA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42411-2023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45180</v>
      </c>
      <c r="E429" s="1" t="n">
        <v>46307</v>
      </c>
      <c r="F429" t="inlineStr">
        <is>
          <t>KRONOBERGS LÄN</t>
        </is>
      </c>
      <c r="G429" t="inlineStr">
        <is>
          <t>ALVESTA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46307</v>
      </c>
      <c r="F430" t="inlineStr">
        <is>
          <t>KRONOBERGS LÄN</t>
        </is>
      </c>
      <c r="G430" t="inlineStr">
        <is>
          <t>ALVESTA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19790-2025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46307</v>
      </c>
      <c r="F431" t="inlineStr">
        <is>
          <t>KRONOBERGS LÄN</t>
        </is>
      </c>
      <c r="G431" t="inlineStr">
        <is>
          <t>ALVESTA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34220-2024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45524</v>
      </c>
      <c r="E432" s="1" t="n">
        <v>46307</v>
      </c>
      <c r="F432" t="inlineStr">
        <is>
          <t>KRONOBERGS LÄN</t>
        </is>
      </c>
      <c r="G432" t="inlineStr">
        <is>
          <t>ALVESTA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45302</v>
      </c>
      <c r="E433" s="1" t="n">
        <v>46307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9987-2023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44985</v>
      </c>
      <c r="E434" s="1" t="n">
        <v>46307</v>
      </c>
      <c r="F434" t="inlineStr">
        <is>
          <t>KRONOBERGS LÄN</t>
        </is>
      </c>
      <c r="G434" t="inlineStr">
        <is>
          <t>ALVESTA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35732-2024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45532</v>
      </c>
      <c r="E435" s="1" t="n">
        <v>46307</v>
      </c>
      <c r="F435" t="inlineStr">
        <is>
          <t>KRONOBERGS LÄN</t>
        </is>
      </c>
      <c r="G435" t="inlineStr">
        <is>
          <t>ALVESTA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45247</v>
      </c>
      <c r="E436" s="1" t="n">
        <v>46307</v>
      </c>
      <c r="F436" t="inlineStr">
        <is>
          <t>KRONOBERGS LÄN</t>
        </is>
      </c>
      <c r="G436" t="inlineStr">
        <is>
          <t>ALVESTA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30699-2023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46307</v>
      </c>
      <c r="F437" t="inlineStr">
        <is>
          <t>KRONOBERGS LÄN</t>
        </is>
      </c>
      <c r="G437" t="inlineStr">
        <is>
          <t>ALVESTA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45532</v>
      </c>
      <c r="E438" s="1" t="n">
        <v>46307</v>
      </c>
      <c r="F438" t="inlineStr">
        <is>
          <t>KRONOBERGS LÄN</t>
        </is>
      </c>
      <c r="G438" t="inlineStr">
        <is>
          <t>ALVESTA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46307</v>
      </c>
      <c r="F439" t="inlineStr">
        <is>
          <t>KRONOBERGS LÄN</t>
        </is>
      </c>
      <c r="G439" t="inlineStr">
        <is>
          <t>ALVESTA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59797-2025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46307</v>
      </c>
      <c r="F440" t="inlineStr">
        <is>
          <t>KRONOBERGS LÄN</t>
        </is>
      </c>
      <c r="G440" t="inlineStr">
        <is>
          <t>ALVESTA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4334-2024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46307</v>
      </c>
      <c r="F441" t="inlineStr">
        <is>
          <t>KRONOBERGS LÄN</t>
        </is>
      </c>
      <c r="G441" t="inlineStr">
        <is>
          <t>ALVESTA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11912-2022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44635</v>
      </c>
      <c r="E442" s="1" t="n">
        <v>46307</v>
      </c>
      <c r="F442" t="inlineStr">
        <is>
          <t>KRONOBERGS LÄN</t>
        </is>
      </c>
      <c r="G442" t="inlineStr">
        <is>
          <t>ALVESTA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46307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36817-2024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46307</v>
      </c>
      <c r="F444" t="inlineStr">
        <is>
          <t>KRONOBERGS LÄN</t>
        </is>
      </c>
      <c r="G444" t="inlineStr">
        <is>
          <t>ALVESTA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51210-2022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44868</v>
      </c>
      <c r="E445" s="1" t="n">
        <v>46307</v>
      </c>
      <c r="F445" t="inlineStr">
        <is>
          <t>KRONOBERGS LÄN</t>
        </is>
      </c>
      <c r="G445" t="inlineStr">
        <is>
          <t>ALVESTA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17501-2026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46307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10858-2023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44991</v>
      </c>
      <c r="E447" s="1" t="n">
        <v>46307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46307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17823-2026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46122</v>
      </c>
      <c r="E449" s="1" t="n">
        <v>46307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46307</v>
      </c>
      <c r="F450" t="inlineStr">
        <is>
          <t>KRONOBERGS LÄN</t>
        </is>
      </c>
      <c r="G450" t="inlineStr">
        <is>
          <t>ALVESTA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60700-2025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45996</v>
      </c>
      <c r="E451" s="1" t="n">
        <v>46307</v>
      </c>
      <c r="F451" t="inlineStr">
        <is>
          <t>KRONOBERGS LÄN</t>
        </is>
      </c>
      <c r="G451" t="inlineStr">
        <is>
          <t>ALVESTA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17801-2026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46122</v>
      </c>
      <c r="E452" s="1" t="n">
        <v>46307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17781-2026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46307</v>
      </c>
      <c r="F453" t="inlineStr">
        <is>
          <t>KRONOBERGS LÄN</t>
        </is>
      </c>
      <c r="G453" t="inlineStr">
        <is>
          <t>ALVESTA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9417-2024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46307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45336</v>
      </c>
      <c r="E455" s="1" t="n">
        <v>46307</v>
      </c>
      <c r="F455" t="inlineStr">
        <is>
          <t>KRONOBERGS LÄN</t>
        </is>
      </c>
      <c r="G455" t="inlineStr">
        <is>
          <t>ALVESTA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46307</v>
      </c>
      <c r="F456" t="inlineStr">
        <is>
          <t>KRONOBERGS LÄN</t>
        </is>
      </c>
      <c r="G456" t="inlineStr">
        <is>
          <t>ALVESTA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46307</v>
      </c>
      <c r="F457" t="inlineStr">
        <is>
          <t>KRONOBERGS LÄN</t>
        </is>
      </c>
      <c r="G457" t="inlineStr">
        <is>
          <t>ALVESTA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20624-2024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45436</v>
      </c>
      <c r="E458" s="1" t="n">
        <v>46307</v>
      </c>
      <c r="F458" t="inlineStr">
        <is>
          <t>KRONOBERGS LÄN</t>
        </is>
      </c>
      <c r="G458" t="inlineStr">
        <is>
          <t>ALVESTA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46132</v>
      </c>
      <c r="E459" s="1" t="n">
        <v>46307</v>
      </c>
      <c r="F459" t="inlineStr">
        <is>
          <t>KRONOBERGS LÄN</t>
        </is>
      </c>
      <c r="G459" t="inlineStr">
        <is>
          <t>ALVESTA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18856-2026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46307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46307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45471</v>
      </c>
      <c r="E462" s="1" t="n">
        <v>46307</v>
      </c>
      <c r="F462" t="inlineStr">
        <is>
          <t>KRONOBERGS LÄN</t>
        </is>
      </c>
      <c r="G462" t="inlineStr">
        <is>
          <t>ALVESTA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45300</v>
      </c>
      <c r="E463" s="1" t="n">
        <v>46307</v>
      </c>
      <c r="F463" t="inlineStr">
        <is>
          <t>KRONOBERGS LÄN</t>
        </is>
      </c>
      <c r="G463" t="inlineStr">
        <is>
          <t>ALVESTA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6479-2022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44601</v>
      </c>
      <c r="E464" s="1" t="n">
        <v>46307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45874</v>
      </c>
      <c r="E465" s="1" t="n">
        <v>46307</v>
      </c>
      <c r="F465" t="inlineStr">
        <is>
          <t>KRONOBERGS LÄN</t>
        </is>
      </c>
      <c r="G465" t="inlineStr">
        <is>
          <t>ALVESTA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18845-2024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45426</v>
      </c>
      <c r="E466" s="1" t="n">
        <v>46307</v>
      </c>
      <c r="F466" t="inlineStr">
        <is>
          <t>KRONOBERGS LÄN</t>
        </is>
      </c>
      <c r="G466" t="inlineStr">
        <is>
          <t>ALVESTA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45856</v>
      </c>
      <c r="E467" s="1" t="n">
        <v>46307</v>
      </c>
      <c r="F467" t="inlineStr">
        <is>
          <t>KRONOBERGS LÄN</t>
        </is>
      </c>
      <c r="G467" t="inlineStr">
        <is>
          <t>ALVESTA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38639-2025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45884</v>
      </c>
      <c r="E468" s="1" t="n">
        <v>46307</v>
      </c>
      <c r="F468" t="inlineStr">
        <is>
          <t>KRONOBERGS LÄN</t>
        </is>
      </c>
      <c r="G468" t="inlineStr">
        <is>
          <t>ALVESTA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45040</v>
      </c>
      <c r="E469" s="1" t="n">
        <v>46307</v>
      </c>
      <c r="F469" t="inlineStr">
        <is>
          <t>KRONOBERGS LÄN</t>
        </is>
      </c>
      <c r="G469" t="inlineStr">
        <is>
          <t>ALVESTA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20101-2026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46307</v>
      </c>
      <c r="F470" t="inlineStr">
        <is>
          <t>KRONOBERGS LÄN</t>
        </is>
      </c>
      <c r="G470" t="inlineStr">
        <is>
          <t>ALVESTA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72318-2021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44545</v>
      </c>
      <c r="E471" s="1" t="n">
        <v>46307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44938</v>
      </c>
      <c r="E472" s="1" t="n">
        <v>46307</v>
      </c>
      <c r="F472" t="inlineStr">
        <is>
          <t>KRONOBERGS LÄN</t>
        </is>
      </c>
      <c r="G472" t="inlineStr">
        <is>
          <t>ALVESTA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44948</v>
      </c>
      <c r="E473" s="1" t="n">
        <v>46307</v>
      </c>
      <c r="F473" t="inlineStr">
        <is>
          <t>KRONOBERGS LÄN</t>
        </is>
      </c>
      <c r="G473" t="inlineStr">
        <is>
          <t>ALVESTA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46022-2023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45189</v>
      </c>
      <c r="E474" s="1" t="n">
        <v>46307</v>
      </c>
      <c r="F474" t="inlineStr">
        <is>
          <t>KRONOBERGS LÄN</t>
        </is>
      </c>
      <c r="G474" t="inlineStr">
        <is>
          <t>ALVESTA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58268-2022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44901</v>
      </c>
      <c r="E475" s="1" t="n">
        <v>46307</v>
      </c>
      <c r="F475" t="inlineStr">
        <is>
          <t>KRONOBERGS LÄN</t>
        </is>
      </c>
      <c r="G475" t="inlineStr">
        <is>
          <t>ALVESTA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28225-2025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45818</v>
      </c>
      <c r="E476" s="1" t="n">
        <v>46307</v>
      </c>
      <c r="F476" t="inlineStr">
        <is>
          <t>KRONOBERGS LÄN</t>
        </is>
      </c>
      <c r="G476" t="inlineStr">
        <is>
          <t>ALVESTA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46307</v>
      </c>
      <c r="F477" t="inlineStr">
        <is>
          <t>KRONOBERGS LÄN</t>
        </is>
      </c>
      <c r="G477" t="inlineStr">
        <is>
          <t>ALVESTA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994-2025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45666</v>
      </c>
      <c r="E478" s="1" t="n">
        <v>46307</v>
      </c>
      <c r="F478" t="inlineStr">
        <is>
          <t>KRONOBERGS LÄN</t>
        </is>
      </c>
      <c r="G478" t="inlineStr">
        <is>
          <t>ALVESTA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45909</v>
      </c>
      <c r="E479" s="1" t="n">
        <v>46307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14969-2022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44657</v>
      </c>
      <c r="E480" s="1" t="n">
        <v>46307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12981-2024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45385</v>
      </c>
      <c r="E481" s="1" t="n">
        <v>46307</v>
      </c>
      <c r="F481" t="inlineStr">
        <is>
          <t>KRONOBERGS LÄN</t>
        </is>
      </c>
      <c r="G481" t="inlineStr">
        <is>
          <t>ALVESTA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50852-2025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45946</v>
      </c>
      <c r="E482" s="1" t="n">
        <v>46307</v>
      </c>
      <c r="F482" t="inlineStr">
        <is>
          <t>KRONOBERGS LÄN</t>
        </is>
      </c>
      <c r="G482" t="inlineStr">
        <is>
          <t>ALVESTA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12952-2024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45385</v>
      </c>
      <c r="E483" s="1" t="n">
        <v>46307</v>
      </c>
      <c r="F483" t="inlineStr">
        <is>
          <t>KRONOBERGS LÄN</t>
        </is>
      </c>
      <c r="G483" t="inlineStr">
        <is>
          <t>ALVESTA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46307</v>
      </c>
      <c r="F484" t="inlineStr">
        <is>
          <t>KRONOBERGS LÄN</t>
        </is>
      </c>
      <c r="G484" t="inlineStr">
        <is>
          <t>ALVESTA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44951</v>
      </c>
      <c r="E485" s="1" t="n">
        <v>46307</v>
      </c>
      <c r="F485" t="inlineStr">
        <is>
          <t>KRONOBERGS LÄN</t>
        </is>
      </c>
      <c r="G485" t="inlineStr">
        <is>
          <t>ALVESTA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6674-2024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45341</v>
      </c>
      <c r="E486" s="1" t="n">
        <v>46307</v>
      </c>
      <c r="F486" t="inlineStr">
        <is>
          <t>KRONOBERGS LÄN</t>
        </is>
      </c>
      <c r="G486" t="inlineStr">
        <is>
          <t>ALVESTA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45949</v>
      </c>
      <c r="E487" s="1" t="n">
        <v>46307</v>
      </c>
      <c r="F487" t="inlineStr">
        <is>
          <t>KRONOBERGS LÄN</t>
        </is>
      </c>
      <c r="G487" t="inlineStr">
        <is>
          <t>ALVESTA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8803-2024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46307</v>
      </c>
      <c r="F488" t="inlineStr">
        <is>
          <t>KRONOBERGS LÄN</t>
        </is>
      </c>
      <c r="G488" t="inlineStr">
        <is>
          <t>ALVESTA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25297-2023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46307</v>
      </c>
      <c r="F489" t="inlineStr">
        <is>
          <t>KRONOBERGS LÄN</t>
        </is>
      </c>
      <c r="G489" t="inlineStr">
        <is>
          <t>ALVESTA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20616-2024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46307</v>
      </c>
      <c r="F490" t="inlineStr">
        <is>
          <t>KRONOBERGS LÄN</t>
        </is>
      </c>
      <c r="G490" t="inlineStr">
        <is>
          <t>ALVESTA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7150-2026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46307</v>
      </c>
      <c r="F491" t="inlineStr">
        <is>
          <t>KRONOBERGS LÄN</t>
        </is>
      </c>
      <c r="G491" t="inlineStr">
        <is>
          <t>ALVESTA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44943</v>
      </c>
      <c r="E492" s="1" t="n">
        <v>46307</v>
      </c>
      <c r="F492" t="inlineStr">
        <is>
          <t>KRONOBERGS LÄN</t>
        </is>
      </c>
      <c r="G492" t="inlineStr">
        <is>
          <t>ALVESTA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57118-2023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45245</v>
      </c>
      <c r="E493" s="1" t="n">
        <v>46307</v>
      </c>
      <c r="F493" t="inlineStr">
        <is>
          <t>KRONOBERGS LÄN</t>
        </is>
      </c>
      <c r="G493" t="inlineStr">
        <is>
          <t>ALVESTA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45840</v>
      </c>
      <c r="E494" s="1" t="n">
        <v>46307</v>
      </c>
      <c r="F494" t="inlineStr">
        <is>
          <t>KRONOBERGS LÄN</t>
        </is>
      </c>
      <c r="G494" t="inlineStr">
        <is>
          <t>ALVESTA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46139</v>
      </c>
      <c r="E495" s="1" t="n">
        <v>46307</v>
      </c>
      <c r="F495" t="inlineStr">
        <is>
          <t>KRONOBERGS LÄN</t>
        </is>
      </c>
      <c r="G495" t="inlineStr">
        <is>
          <t>ALVESTA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59225-2025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46307</v>
      </c>
      <c r="F496" t="inlineStr">
        <is>
          <t>KRONOBERGS LÄN</t>
        </is>
      </c>
      <c r="G496" t="inlineStr">
        <is>
          <t>ALVESTA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45858</v>
      </c>
      <c r="E497" s="1" t="n">
        <v>46307</v>
      </c>
      <c r="F497" t="inlineStr">
        <is>
          <t>KRONOBERGS LÄN</t>
        </is>
      </c>
      <c r="G497" t="inlineStr">
        <is>
          <t>ALVESTA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46307</v>
      </c>
      <c r="F498" t="inlineStr">
        <is>
          <t>KRONOBERGS LÄN</t>
        </is>
      </c>
      <c r="G498" t="inlineStr">
        <is>
          <t>ALVESTA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44935</v>
      </c>
      <c r="E499" s="1" t="n">
        <v>46307</v>
      </c>
      <c r="F499" t="inlineStr">
        <is>
          <t>KRONOBERGS LÄN</t>
        </is>
      </c>
      <c r="G499" t="inlineStr">
        <is>
          <t>ALVESTA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56552-2021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44480</v>
      </c>
      <c r="E500" s="1" t="n">
        <v>46307</v>
      </c>
      <c r="F500" t="inlineStr">
        <is>
          <t>KRONOBERGS LÄN</t>
        </is>
      </c>
      <c r="G500" t="inlineStr">
        <is>
          <t>ALVESTA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37113-2023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45155</v>
      </c>
      <c r="E501" s="1" t="n">
        <v>46307</v>
      </c>
      <c r="F501" t="inlineStr">
        <is>
          <t>KRONOBERGS LÄN</t>
        </is>
      </c>
      <c r="G501" t="inlineStr">
        <is>
          <t>ALVESTA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60760-2022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44914</v>
      </c>
      <c r="E502" s="1" t="n">
        <v>46307</v>
      </c>
      <c r="F502" t="inlineStr">
        <is>
          <t>KRONOBERGS LÄN</t>
        </is>
      </c>
      <c r="G502" t="inlineStr">
        <is>
          <t>ALVESTA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3118-2025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45678</v>
      </c>
      <c r="E503" s="1" t="n">
        <v>46307</v>
      </c>
      <c r="F503" t="inlineStr">
        <is>
          <t>KRONOBERGS LÄN</t>
        </is>
      </c>
      <c r="G503" t="inlineStr">
        <is>
          <t>ALVESTA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45596</v>
      </c>
      <c r="E504" s="1" t="n">
        <v>46307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46037</v>
      </c>
      <c r="E505" s="1" t="n">
        <v>46307</v>
      </c>
      <c r="F505" t="inlineStr">
        <is>
          <t>KRONOBERGS LÄN</t>
        </is>
      </c>
      <c r="G505" t="inlineStr">
        <is>
          <t>ALVESTA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13369-2023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45005</v>
      </c>
      <c r="E506" s="1" t="n">
        <v>46307</v>
      </c>
      <c r="F506" t="inlineStr">
        <is>
          <t>KRONOBERGS LÄN</t>
        </is>
      </c>
      <c r="G506" t="inlineStr">
        <is>
          <t>ALVESTA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46234-2023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46307</v>
      </c>
      <c r="F507" t="inlineStr">
        <is>
          <t>KRONOBERGS LÄN</t>
        </is>
      </c>
      <c r="G507" t="inlineStr">
        <is>
          <t>ALVESTA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18646-2022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44687</v>
      </c>
      <c r="E508" s="1" t="n">
        <v>46307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46307</v>
      </c>
      <c r="F509" t="inlineStr">
        <is>
          <t>KRONOBERGS LÄN</t>
        </is>
      </c>
      <c r="G509" t="inlineStr">
        <is>
          <t>ALVESTA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45146</v>
      </c>
      <c r="E510" s="1" t="n">
        <v>46307</v>
      </c>
      <c r="F510" t="inlineStr">
        <is>
          <t>KRONOBERGS LÄN</t>
        </is>
      </c>
      <c r="G510" t="inlineStr">
        <is>
          <t>ALVESTA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44978</v>
      </c>
      <c r="E511" s="1" t="n">
        <v>46307</v>
      </c>
      <c r="F511" t="inlineStr">
        <is>
          <t>KRONOBERGS LÄN</t>
        </is>
      </c>
      <c r="G511" t="inlineStr">
        <is>
          <t>ALVESTA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65092-2023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45288</v>
      </c>
      <c r="E512" s="1" t="n">
        <v>46307</v>
      </c>
      <c r="F512" t="inlineStr">
        <is>
          <t>KRONOBERGS LÄN</t>
        </is>
      </c>
      <c r="G512" t="inlineStr">
        <is>
          <t>ALVESTA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45478</v>
      </c>
      <c r="E513" s="1" t="n">
        <v>46307</v>
      </c>
      <c r="F513" t="inlineStr">
        <is>
          <t>KRONOBERGS LÄN</t>
        </is>
      </c>
      <c r="G513" t="inlineStr">
        <is>
          <t>ALVESTA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30223-2025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45827</v>
      </c>
      <c r="E514" s="1" t="n">
        <v>46307</v>
      </c>
      <c r="F514" t="inlineStr">
        <is>
          <t>KRONOBERGS LÄN</t>
        </is>
      </c>
      <c r="G514" t="inlineStr">
        <is>
          <t>ALVESTA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5520-2026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46050</v>
      </c>
      <c r="E515" s="1" t="n">
        <v>46307</v>
      </c>
      <c r="F515" t="inlineStr">
        <is>
          <t>KRONOBERGS LÄN</t>
        </is>
      </c>
      <c r="G515" t="inlineStr">
        <is>
          <t>ALVESTA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11937-2023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44995</v>
      </c>
      <c r="E516" s="1" t="n">
        <v>46307</v>
      </c>
      <c r="F516" t="inlineStr">
        <is>
          <t>KRONOBERGS LÄN</t>
        </is>
      </c>
      <c r="G516" t="inlineStr">
        <is>
          <t>ALVESTA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16301-2024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45407</v>
      </c>
      <c r="E517" s="1" t="n">
        <v>46307</v>
      </c>
      <c r="F517" t="inlineStr">
        <is>
          <t>KRONOBERGS LÄN</t>
        </is>
      </c>
      <c r="G517" t="inlineStr">
        <is>
          <t>ALVESTA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46307</v>
      </c>
      <c r="F518" t="inlineStr">
        <is>
          <t>KRONOBERGS LÄN</t>
        </is>
      </c>
      <c r="G518" t="inlineStr">
        <is>
          <t>ALVESTA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46307</v>
      </c>
      <c r="F519" t="inlineStr">
        <is>
          <t>KRONOBERGS LÄN</t>
        </is>
      </c>
      <c r="G519" t="inlineStr">
        <is>
          <t>ALVESTA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46051</v>
      </c>
      <c r="E520" s="1" t="n">
        <v>46307</v>
      </c>
      <c r="F520" t="inlineStr">
        <is>
          <t>KRONOBERGS LÄN</t>
        </is>
      </c>
      <c r="G520" t="inlineStr">
        <is>
          <t>ALVESTA</t>
        </is>
      </c>
      <c r="H520" t="inlineStr">
        <is>
          <t>Kyrkan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46058</v>
      </c>
      <c r="E521" s="1" t="n">
        <v>46307</v>
      </c>
      <c r="F521" t="inlineStr">
        <is>
          <t>KRONOBERGS LÄN</t>
        </is>
      </c>
      <c r="G521" t="inlineStr">
        <is>
          <t>ALVESTA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7993-2026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46307</v>
      </c>
      <c r="F522" t="inlineStr">
        <is>
          <t>KRONOBERGS LÄN</t>
        </is>
      </c>
      <c r="G522" t="inlineStr">
        <is>
          <t>ALVESTA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8320-2026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46064</v>
      </c>
      <c r="E523" s="1" t="n">
        <v>46307</v>
      </c>
      <c r="F523" t="inlineStr">
        <is>
          <t>KRONOBERGS LÄN</t>
        </is>
      </c>
      <c r="G523" t="inlineStr">
        <is>
          <t>ALVESTA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46084</v>
      </c>
      <c r="E524" s="1" t="n">
        <v>46307</v>
      </c>
      <c r="F524" t="inlineStr">
        <is>
          <t>KRONOBERGS LÄN</t>
        </is>
      </c>
      <c r="G524" t="inlineStr">
        <is>
          <t>ALVESTA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46307</v>
      </c>
      <c r="F525" t="inlineStr">
        <is>
          <t>KRONOBERGS LÄN</t>
        </is>
      </c>
      <c r="G525" t="inlineStr">
        <is>
          <t>ALVESTA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11331-2026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46081</v>
      </c>
      <c r="E526" s="1" t="n">
        <v>46307</v>
      </c>
      <c r="F526" t="inlineStr">
        <is>
          <t>KRONOBERGS LÄN</t>
        </is>
      </c>
      <c r="G526" t="inlineStr">
        <is>
          <t>ALVESTA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46307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46084</v>
      </c>
      <c r="E528" s="1" t="n">
        <v>46307</v>
      </c>
      <c r="F528" t="inlineStr">
        <is>
          <t>KRONOBERGS LÄN</t>
        </is>
      </c>
      <c r="G528" t="inlineStr">
        <is>
          <t>ALVESTA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12258-2026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46087</v>
      </c>
      <c r="E529" s="1" t="n">
        <v>46307</v>
      </c>
      <c r="F529" t="inlineStr">
        <is>
          <t>KRONOBERGS LÄN</t>
        </is>
      </c>
      <c r="G529" t="inlineStr">
        <is>
          <t>ALVESTA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53425-2025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45959</v>
      </c>
      <c r="E530" s="1" t="n">
        <v>46307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35434-2025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45854</v>
      </c>
      <c r="E531" s="1" t="n">
        <v>46307</v>
      </c>
      <c r="F531" t="inlineStr">
        <is>
          <t>KRONOBERGS LÄN</t>
        </is>
      </c>
      <c r="G531" t="inlineStr">
        <is>
          <t>ALVESTA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40612-2025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45896</v>
      </c>
      <c r="E532" s="1" t="n">
        <v>46307</v>
      </c>
      <c r="F532" t="inlineStr">
        <is>
          <t>KRONOBERGS LÄN</t>
        </is>
      </c>
      <c r="G532" t="inlineStr">
        <is>
          <t>ALVESTA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46307</v>
      </c>
      <c r="F533" t="inlineStr">
        <is>
          <t>KRONOBERGS LÄN</t>
        </is>
      </c>
      <c r="G533" t="inlineStr">
        <is>
          <t>ALVESTA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42074-2025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45903</v>
      </c>
      <c r="E534" s="1" t="n">
        <v>46307</v>
      </c>
      <c r="F534" t="inlineStr">
        <is>
          <t>KRONOBERGS LÄN</t>
        </is>
      </c>
      <c r="G534" t="inlineStr">
        <is>
          <t>ALVESTA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23622-2026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46307</v>
      </c>
      <c r="F535" t="inlineStr">
        <is>
          <t>KRONOBERGS LÄN</t>
        </is>
      </c>
      <c r="G535" t="inlineStr">
        <is>
          <t>ALVESTA</t>
        </is>
      </c>
      <c r="I535" t="n">
        <v>10.2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46307</v>
      </c>
      <c r="F536" t="inlineStr">
        <is>
          <t>KRONOBERGS LÄN</t>
        </is>
      </c>
      <c r="G536" t="inlineStr">
        <is>
          <t>ALVESTA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23905-2026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46167</v>
      </c>
      <c r="E537" s="1" t="n">
        <v>46307</v>
      </c>
      <c r="F537" t="inlineStr">
        <is>
          <t>KRONOBERGS LÄN</t>
        </is>
      </c>
      <c r="G537" t="inlineStr">
        <is>
          <t>ALVESTA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24420-2026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46169</v>
      </c>
      <c r="E538" s="1" t="n">
        <v>46307</v>
      </c>
      <c r="F538" t="inlineStr">
        <is>
          <t>KRONOBERGS LÄN</t>
        </is>
      </c>
      <c r="G538" t="inlineStr">
        <is>
          <t>ALVESTA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24419-2026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46169</v>
      </c>
      <c r="E539" s="1" t="n">
        <v>46307</v>
      </c>
      <c r="F539" t="inlineStr">
        <is>
          <t>KRONOBERGS LÄN</t>
        </is>
      </c>
      <c r="G539" t="inlineStr">
        <is>
          <t>ALVESTA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24443-2026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46170</v>
      </c>
      <c r="E540" s="1" t="n">
        <v>46307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24692-2026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46171</v>
      </c>
      <c r="E541" s="1" t="n">
        <v>46307</v>
      </c>
      <c r="F541" t="inlineStr">
        <is>
          <t>KRONOBERGS LÄN</t>
        </is>
      </c>
      <c r="G541" t="inlineStr">
        <is>
          <t>ALVESTA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46170</v>
      </c>
      <c r="E542" s="1" t="n">
        <v>46307</v>
      </c>
      <c r="F542" t="inlineStr">
        <is>
          <t>KRONOBERGS LÄN</t>
        </is>
      </c>
      <c r="G542" t="inlineStr">
        <is>
          <t>ALVESTA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46307</v>
      </c>
      <c r="F543" t="inlineStr">
        <is>
          <t>KRONOBERGS LÄN</t>
        </is>
      </c>
      <c r="G543" t="inlineStr">
        <is>
          <t>ALVESTA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38899-2024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45547</v>
      </c>
      <c r="E544" s="1" t="n">
        <v>46307</v>
      </c>
      <c r="F544" t="inlineStr">
        <is>
          <t>KRONOBERGS LÄN</t>
        </is>
      </c>
      <c r="G544" t="inlineStr">
        <is>
          <t>ALVESTA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46307</v>
      </c>
      <c r="F545" t="inlineStr">
        <is>
          <t>KRONOBERGS LÄN</t>
        </is>
      </c>
      <c r="G545" t="inlineStr">
        <is>
          <t>ALVESTA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25609-2026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46307</v>
      </c>
      <c r="F546" t="inlineStr">
        <is>
          <t>KRONOBERGS LÄN</t>
        </is>
      </c>
      <c r="G546" t="inlineStr">
        <is>
          <t>ALVESTA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46307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27032-2026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46185</v>
      </c>
      <c r="E548" s="1" t="n">
        <v>46307</v>
      </c>
      <c r="F548" t="inlineStr">
        <is>
          <t>KRONOBERGS LÄN</t>
        </is>
      </c>
      <c r="G548" t="inlineStr">
        <is>
          <t>ALVESTA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27077-2026</t>
        </is>
      </c>
      <c r="B549" t="inlineStr">
        <is>
          <t>avverkningsanmälan</t>
        </is>
      </c>
      <c r="C549" t="inlineStr">
        <is>
          <t>Avverkning för att bevara och utveckla /försöksver</t>
        </is>
      </c>
      <c r="D549" s="1" t="n">
        <v>46186</v>
      </c>
      <c r="E549" s="1" t="n">
        <v>46307</v>
      </c>
      <c r="F549" t="inlineStr">
        <is>
          <t>KRONOBERGS LÄN</t>
        </is>
      </c>
      <c r="G549" t="inlineStr">
        <is>
          <t>ALVESTA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27282-2026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46188</v>
      </c>
      <c r="E550" s="1" t="n">
        <v>46307</v>
      </c>
      <c r="F550" t="inlineStr">
        <is>
          <t>KRONOBERGS LÄN</t>
        </is>
      </c>
      <c r="G550" t="inlineStr">
        <is>
          <t>ALVESTA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46307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28237-2026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46307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46307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46307</v>
      </c>
      <c r="F554" t="inlineStr">
        <is>
          <t>KRONOBERGS LÄN</t>
        </is>
      </c>
      <c r="G554" t="inlineStr">
        <is>
          <t>ALVESTA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46307</v>
      </c>
      <c r="F555" t="inlineStr">
        <is>
          <t>KRONOBERGS LÄN</t>
        </is>
      </c>
      <c r="G555" t="inlineStr">
        <is>
          <t>ALVESTA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46307</v>
      </c>
      <c r="F556" t="inlineStr">
        <is>
          <t>KRONOBERGS LÄN</t>
        </is>
      </c>
      <c r="G556" t="inlineStr">
        <is>
          <t>ALVESTA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46307</v>
      </c>
      <c r="F557" t="inlineStr">
        <is>
          <t>KRONOBERGS LÄN</t>
        </is>
      </c>
      <c r="G557" t="inlineStr">
        <is>
          <t>ALVESTA</t>
        </is>
      </c>
      <c r="I557" t="n">
        <v>10.4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46307</v>
      </c>
      <c r="F558" t="inlineStr">
        <is>
          <t>KRONOBERGS LÄN</t>
        </is>
      </c>
      <c r="G558" t="inlineStr">
        <is>
          <t>ALVESTA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46307</v>
      </c>
      <c r="F559" t="inlineStr">
        <is>
          <t>KRONOBERGS LÄN</t>
        </is>
      </c>
      <c r="G559" t="inlineStr">
        <is>
          <t>ALVESTA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46212</v>
      </c>
      <c r="E560" s="1" t="n">
        <v>46307</v>
      </c>
      <c r="F560" t="inlineStr">
        <is>
          <t>KRONOBERGS LÄN</t>
        </is>
      </c>
      <c r="G560" t="inlineStr">
        <is>
          <t>ALVESTA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36640-2026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46307</v>
      </c>
      <c r="F561" t="inlineStr">
        <is>
          <t>KRONOBERGS LÄN</t>
        </is>
      </c>
      <c r="G561" t="inlineStr">
        <is>
          <t>ALVESTA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36565-2026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46269</v>
      </c>
      <c r="E562" s="1" t="n">
        <v>46307</v>
      </c>
      <c r="F562" t="inlineStr">
        <is>
          <t>KRONOBERGS LÄN</t>
        </is>
      </c>
      <c r="G562" t="inlineStr">
        <is>
          <t>ALVESTA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36943-2026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46273</v>
      </c>
      <c r="E563" s="1" t="n">
        <v>46307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36949-2026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46273</v>
      </c>
      <c r="E564" s="1" t="n">
        <v>46307</v>
      </c>
      <c r="F564" t="inlineStr">
        <is>
          <t>KRONOBERGS LÄN</t>
        </is>
      </c>
      <c r="G564" t="inlineStr">
        <is>
          <t>ALVESTA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37095-2026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46274</v>
      </c>
      <c r="E565" s="1" t="n">
        <v>46307</v>
      </c>
      <c r="F565" t="inlineStr">
        <is>
          <t>KRONOBERGS LÄN</t>
        </is>
      </c>
      <c r="G565" t="inlineStr">
        <is>
          <t>ALVESTA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36946-2026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46273</v>
      </c>
      <c r="E566" s="1" t="n">
        <v>46307</v>
      </c>
      <c r="F566" t="inlineStr">
        <is>
          <t>KRONOBERGS LÄN</t>
        </is>
      </c>
      <c r="G566" t="inlineStr">
        <is>
          <t>ALVESTA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46274</v>
      </c>
      <c r="E567" s="1" t="n">
        <v>46307</v>
      </c>
      <c r="F567" t="inlineStr">
        <is>
          <t>KRONOBERGS LÄN</t>
        </is>
      </c>
      <c r="G567" t="inlineStr">
        <is>
          <t>ALVESTA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46279</v>
      </c>
      <c r="E568" s="1" t="n">
        <v>46307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46307</v>
      </c>
      <c r="F569" t="inlineStr">
        <is>
          <t>KRONOBERGS LÄN</t>
        </is>
      </c>
      <c r="G569" t="inlineStr">
        <is>
          <t>ALVESTA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38258-2026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46281</v>
      </c>
      <c r="E570" s="1" t="n">
        <v>46307</v>
      </c>
      <c r="F570" t="inlineStr">
        <is>
          <t>KRONOBERGS LÄN</t>
        </is>
      </c>
      <c r="G570" t="inlineStr">
        <is>
          <t>ALVESTA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32326-2026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46238</v>
      </c>
      <c r="E571" s="1" t="n">
        <v>46307</v>
      </c>
      <c r="F571" t="inlineStr">
        <is>
          <t>KRONOBERGS LÄN</t>
        </is>
      </c>
      <c r="G571" t="inlineStr">
        <is>
          <t>ALVESTA</t>
        </is>
      </c>
      <c r="I571" t="n">
        <v>4.7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38917-2026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46307</v>
      </c>
      <c r="F572" t="inlineStr">
        <is>
          <t>KRONOBERGS LÄN</t>
        </is>
      </c>
      <c r="G572" t="inlineStr">
        <is>
          <t>ALVESTA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46307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38919-2026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46286</v>
      </c>
      <c r="E574" s="1" t="n">
        <v>46307</v>
      </c>
      <c r="F574" t="inlineStr">
        <is>
          <t>KRONOBERGS LÄN</t>
        </is>
      </c>
      <c r="G574" t="inlineStr">
        <is>
          <t>ALVESTA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32793-2026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46241</v>
      </c>
      <c r="E575" s="1" t="n">
        <v>46307</v>
      </c>
      <c r="F575" t="inlineStr">
        <is>
          <t>KRONOBERGS LÄN</t>
        </is>
      </c>
      <c r="G575" t="inlineStr">
        <is>
          <t>ALVESTA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32799-2026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46241</v>
      </c>
      <c r="E576" s="1" t="n">
        <v>46307</v>
      </c>
      <c r="F576" t="inlineStr">
        <is>
          <t>KRONOBERGS LÄN</t>
        </is>
      </c>
      <c r="G576" t="inlineStr">
        <is>
          <t>ALVESTA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38911-2026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46286</v>
      </c>
      <c r="E577" s="1" t="n">
        <v>46307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32787-2026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46241</v>
      </c>
      <c r="E578" s="1" t="n">
        <v>46307</v>
      </c>
      <c r="F578" t="inlineStr">
        <is>
          <t>KRONOBERGS LÄN</t>
        </is>
      </c>
      <c r="G578" t="inlineStr">
        <is>
          <t>ALVESTA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32792-2026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46241</v>
      </c>
      <c r="E579" s="1" t="n">
        <v>46307</v>
      </c>
      <c r="F579" t="inlineStr">
        <is>
          <t>KRONOBERGS LÄN</t>
        </is>
      </c>
      <c r="G579" t="inlineStr">
        <is>
          <t>ALVESTA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46241</v>
      </c>
      <c r="E580" s="1" t="n">
        <v>46307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46241</v>
      </c>
      <c r="E581" s="1" t="n">
        <v>46307</v>
      </c>
      <c r="F581" t="inlineStr">
        <is>
          <t>KRONOBERGS LÄN</t>
        </is>
      </c>
      <c r="G581" t="inlineStr">
        <is>
          <t>ALVESTA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38912-2026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46286</v>
      </c>
      <c r="E582" s="1" t="n">
        <v>46307</v>
      </c>
      <c r="F582" t="inlineStr">
        <is>
          <t>KRONOBERGS LÄN</t>
        </is>
      </c>
      <c r="G582" t="inlineStr">
        <is>
          <t>ALVESTA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38921-2026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46307</v>
      </c>
      <c r="F583" t="inlineStr">
        <is>
          <t>KRONOBERGS LÄN</t>
        </is>
      </c>
      <c r="G583" t="inlineStr">
        <is>
          <t>ALVESTA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39405-2026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46288</v>
      </c>
      <c r="E584" s="1" t="n">
        <v>46307</v>
      </c>
      <c r="F584" t="inlineStr">
        <is>
          <t>KRONOBERGS LÄN</t>
        </is>
      </c>
      <c r="G584" t="inlineStr">
        <is>
          <t>ALVESTA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32837-2026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46244</v>
      </c>
      <c r="E585" s="1" t="n">
        <v>46307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39407-2026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46288</v>
      </c>
      <c r="E586" s="1" t="n">
        <v>46307</v>
      </c>
      <c r="F586" t="inlineStr">
        <is>
          <t>KRONOBERGS LÄN</t>
        </is>
      </c>
      <c r="G586" t="inlineStr">
        <is>
          <t>ALVESTA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46307</v>
      </c>
      <c r="F587" t="inlineStr">
        <is>
          <t>KRONOBERGS LÄN</t>
        </is>
      </c>
      <c r="G587" t="inlineStr">
        <is>
          <t>ALVESTA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46307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46307</v>
      </c>
      <c r="F589" t="inlineStr">
        <is>
          <t>KRONOBERGS LÄN</t>
        </is>
      </c>
      <c r="G589" t="inlineStr">
        <is>
          <t>ALVESTA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33290-2026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46246</v>
      </c>
      <c r="E590" s="1" t="n">
        <v>46307</v>
      </c>
      <c r="F590" t="inlineStr">
        <is>
          <t>KRONOBERGS LÄN</t>
        </is>
      </c>
      <c r="G590" t="inlineStr">
        <is>
          <t>ALVESTA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40083-2026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46293</v>
      </c>
      <c r="E591" s="1" t="n">
        <v>46307</v>
      </c>
      <c r="F591" t="inlineStr">
        <is>
          <t>KRONOBERGS LÄN</t>
        </is>
      </c>
      <c r="G591" t="inlineStr">
        <is>
          <t>ALVESTA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40065-2026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46293</v>
      </c>
      <c r="E592" s="1" t="n">
        <v>46307</v>
      </c>
      <c r="F592" t="inlineStr">
        <is>
          <t>KRONOBERGS LÄN</t>
        </is>
      </c>
      <c r="G592" t="inlineStr">
        <is>
          <t>ALVESTA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40836-2026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46296</v>
      </c>
      <c r="E593" s="1" t="n">
        <v>46307</v>
      </c>
      <c r="F593" t="inlineStr">
        <is>
          <t>KRONOBERGS LÄN</t>
        </is>
      </c>
      <c r="G593" t="inlineStr">
        <is>
          <t>ALVESTA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46307</v>
      </c>
      <c r="F594" t="inlineStr">
        <is>
          <t>KRONOBERGS LÄN</t>
        </is>
      </c>
      <c r="G594" t="inlineStr">
        <is>
          <t>ALVESTA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40866-2026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46297</v>
      </c>
      <c r="E595" s="1" t="n">
        <v>46307</v>
      </c>
      <c r="F595" t="inlineStr">
        <is>
          <t>KRONOBERGS LÄN</t>
        </is>
      </c>
      <c r="G595" t="inlineStr">
        <is>
          <t>ALVESTA</t>
        </is>
      </c>
      <c r="H595" t="inlineStr">
        <is>
          <t>Övriga Aktiebolag</t>
        </is>
      </c>
      <c r="I595" t="n">
        <v>4.3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59340-2025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46307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41054-2026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46300</v>
      </c>
      <c r="E597" s="1" t="n">
        <v>46307</v>
      </c>
      <c r="F597" t="inlineStr">
        <is>
          <t>KRONOBERGS LÄN</t>
        </is>
      </c>
      <c r="G597" t="inlineStr">
        <is>
          <t>ALVESTA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46302</v>
      </c>
      <c r="E598" s="1" t="n">
        <v>46307</v>
      </c>
      <c r="F598" t="inlineStr">
        <is>
          <t>KRONOBERGS LÄN</t>
        </is>
      </c>
      <c r="G598" t="inlineStr">
        <is>
          <t>ALVESTA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34968-2026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46259</v>
      </c>
      <c r="E599" s="1" t="n">
        <v>46307</v>
      </c>
      <c r="F599" t="inlineStr">
        <is>
          <t>KRONOBERGS LÄN</t>
        </is>
      </c>
      <c r="G599" t="inlineStr">
        <is>
          <t>ALVESTA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41787-2026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46307</v>
      </c>
      <c r="F600" t="inlineStr">
        <is>
          <t>KRONOBERGS LÄN</t>
        </is>
      </c>
      <c r="G600" t="inlineStr">
        <is>
          <t>ALVESTA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41789-2026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46303</v>
      </c>
      <c r="E601" s="1" t="n">
        <v>46307</v>
      </c>
      <c r="F601" t="inlineStr">
        <is>
          <t>KRONOBERGS LÄN</t>
        </is>
      </c>
      <c r="G601" t="inlineStr">
        <is>
          <t>ALVESTA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46304</v>
      </c>
      <c r="E602" s="1" t="n">
        <v>46307</v>
      </c>
      <c r="F602" t="inlineStr">
        <is>
          <t>KRONOBERGS LÄN</t>
        </is>
      </c>
      <c r="G602" t="inlineStr">
        <is>
          <t>ALVESTA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46303</v>
      </c>
      <c r="E603" s="1" t="n">
        <v>46307</v>
      </c>
      <c r="F603" t="inlineStr">
        <is>
          <t>KRONOBERGS LÄN</t>
        </is>
      </c>
      <c r="G603" t="inlineStr">
        <is>
          <t>ALVESTA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46303</v>
      </c>
      <c r="E604" s="1" t="n">
        <v>46307</v>
      </c>
      <c r="F604" t="inlineStr">
        <is>
          <t>KRONOBERGS LÄN</t>
        </is>
      </c>
      <c r="G604" t="inlineStr">
        <is>
          <t>ALVESTA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46307</v>
      </c>
      <c r="F605" t="inlineStr">
        <is>
          <t>KRONOBERGS LÄN</t>
        </is>
      </c>
      <c r="G605" t="inlineStr">
        <is>
          <t>ALVESTA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2119-2022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46307</v>
      </c>
      <c r="F606" t="inlineStr">
        <is>
          <t>KRONOBERGS LÄN</t>
        </is>
      </c>
      <c r="G606" t="inlineStr">
        <is>
          <t>ALVESTA</t>
        </is>
      </c>
      <c r="I606" t="n">
        <v>24.5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2120-2022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46307</v>
      </c>
      <c r="F607" t="inlineStr">
        <is>
          <t>KRONOBERGS LÄN</t>
        </is>
      </c>
      <c r="G607" t="inlineStr">
        <is>
          <t>ALVESTA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1569-2022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44643</v>
      </c>
      <c r="E608" s="1" t="n">
        <v>46307</v>
      </c>
      <c r="F608" t="inlineStr">
        <is>
          <t>KRONOBERGS LÄN</t>
        </is>
      </c>
      <c r="G608" t="inlineStr">
        <is>
          <t>ALVESTA</t>
        </is>
      </c>
      <c r="I608" t="n">
        <v>21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3838-2022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44743</v>
      </c>
      <c r="E609" s="1" t="n">
        <v>46307</v>
      </c>
      <c r="F609" t="inlineStr">
        <is>
          <t>KRONOBERGS LÄN</t>
        </is>
      </c>
      <c r="G609" t="inlineStr">
        <is>
          <t>ALVESTA</t>
        </is>
      </c>
      <c r="I609" t="n">
        <v>15.8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572-2024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45350</v>
      </c>
      <c r="E610" s="1" t="n">
        <v>46307</v>
      </c>
      <c r="F610" t="inlineStr">
        <is>
          <t>KRONOBERGS LÄN</t>
        </is>
      </c>
      <c r="G610" t="inlineStr">
        <is>
          <t>ALVESTA</t>
        </is>
      </c>
      <c r="I610" t="n">
        <v>32.7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6869-2022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44903</v>
      </c>
      <c r="E611" s="1" t="n">
        <v>46307</v>
      </c>
      <c r="F611" t="inlineStr">
        <is>
          <t>KRONOBERGS LÄN</t>
        </is>
      </c>
      <c r="G611" t="inlineStr">
        <is>
          <t>ALVESTA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2385-2023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45111</v>
      </c>
      <c r="E612" s="1" t="n">
        <v>46307</v>
      </c>
      <c r="F612" t="inlineStr">
        <is>
          <t>KRONOBERGS LÄN</t>
        </is>
      </c>
      <c r="G612" t="inlineStr">
        <is>
          <t>ALVESTA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3364-2024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46307</v>
      </c>
      <c r="F613" t="inlineStr">
        <is>
          <t>KRONOBERGS LÄN</t>
        </is>
      </c>
      <c r="G613" t="inlineStr">
        <is>
          <t>ALVESTA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2693-2024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45481</v>
      </c>
      <c r="E614" s="1" t="n">
        <v>46307</v>
      </c>
      <c r="F614" t="inlineStr">
        <is>
          <t>KRONOBERGS LÄN</t>
        </is>
      </c>
      <c r="G614" t="inlineStr">
        <is>
          <t>ALVESTA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8442-2021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44497</v>
      </c>
      <c r="E615" s="1" t="n">
        <v>46307</v>
      </c>
      <c r="F615" t="inlineStr">
        <is>
          <t>KRONOBERGS LÄN</t>
        </is>
      </c>
      <c r="G615" t="inlineStr">
        <is>
          <t>ALVESTA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3365-2024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45532</v>
      </c>
      <c r="E616" s="1" t="n">
        <v>46307</v>
      </c>
      <c r="F616" t="inlineStr">
        <is>
          <t>KRONOBERGS LÄN</t>
        </is>
      </c>
      <c r="G616" t="inlineStr">
        <is>
          <t>ALVESTA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4437-2023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45267</v>
      </c>
      <c r="E617" s="1" t="n">
        <v>46307</v>
      </c>
      <c r="F617" t="inlineStr">
        <is>
          <t>KRONOBERGS LÄN</t>
        </is>
      </c>
      <c r="G617" t="inlineStr">
        <is>
          <t>ALVESTA</t>
        </is>
      </c>
      <c r="I617" t="n">
        <v>10.6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1762-2024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45435</v>
      </c>
      <c r="E618" s="1" t="n">
        <v>46307</v>
      </c>
      <c r="F618" t="inlineStr">
        <is>
          <t>KRONOBERGS LÄN</t>
        </is>
      </c>
      <c r="G618" t="inlineStr">
        <is>
          <t>ALVESTA</t>
        </is>
      </c>
      <c r="I618" t="n">
        <v>17.4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46307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46307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46307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46307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46307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46307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46307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46307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46307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46307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46307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46307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46307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46307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46307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46307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2591-2026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46307</v>
      </c>
      <c r="F635" t="inlineStr">
        <is>
          <t>KRONOBERGS LÄN</t>
        </is>
      </c>
      <c r="G635" t="inlineStr">
        <is>
          <t>ALVESTA</t>
        </is>
      </c>
      <c r="I635" t="n">
        <v>22.4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2592-2026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46296</v>
      </c>
      <c r="E636" s="1" t="n">
        <v>46307</v>
      </c>
      <c r="F636" t="inlineStr">
        <is>
          <t>KRONOBERGS LÄN</t>
        </is>
      </c>
      <c r="G636" t="inlineStr">
        <is>
          <t>ALVESTA</t>
        </is>
      </c>
      <c r="I636" t="n">
        <v>22.6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2171-2026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46251</v>
      </c>
      <c r="E637" s="1" t="n">
        <v>46307</v>
      </c>
      <c r="F637" t="inlineStr">
        <is>
          <t>KRONOBERGS LÄN</t>
        </is>
      </c>
      <c r="G637" t="inlineStr">
        <is>
          <t>ALVESTA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46307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46307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2026-10-12T01:58:52Z</dcterms:created>
  <dcterms:modified xmlns:dcterms="http://purl.org/dc/terms/" xmlns:xsi="http://www.w3.org/2001/XMLSchema-instance" xsi:type="dcterms:W3CDTF">2026-10-12T01:58:53Z</dcterms:modified>
</cp:coreProperties>
</file>