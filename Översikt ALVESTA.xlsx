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47462-2024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46258</v>
      </c>
      <c r="F14" t="inlineStr">
        <is>
          <t>KRONOBERGS LÄN</t>
        </is>
      </c>
      <c r="G14" t="inlineStr">
        <is>
          <t>ALVESTA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Gulnål
Kärrviol
Missne</t>
        </is>
      </c>
      <c r="W14">
        <f>HYPERLINK("https://klasma.github.io/Logging_0764/artfynd/A 47462-2024 artfynd.xlsx", "A 47462-2024")</f>
        <v/>
      </c>
      <c r="X14">
        <f>HYPERLINK("https://klasma.github.io/Logging_0764/kartor/A 47462-2024 karta.png", "A 47462-2024")</f>
        <v/>
      </c>
      <c r="Y14">
        <f>HYPERLINK("https://klasma.github.io/Logging_0764/kartor_geotiff/A 47462-2024 georefererad karta.tif", "A 47462-2024")</f>
        <v/>
      </c>
      <c r="AA14">
        <f>HYPERLINK("https://klasma.github.io/Logging_0764/klagomål/A 47462-2024 FSC-klagomål.docx", "A 47462-2024")</f>
        <v/>
      </c>
      <c r="AB14">
        <f>HYPERLINK("https://klasma.github.io/Logging_0764/klagomålsmail/A 47462-2024 FSC-klagomål mail.docx", "A 47462-2024")</f>
        <v/>
      </c>
      <c r="AC14">
        <f>HYPERLINK("https://klasma.github.io/Logging_0764/tillsyn/A 47462-2024 tillsynsbegäran.docx", "A 47462-2024")</f>
        <v/>
      </c>
      <c r="AD14">
        <f>HYPERLINK("https://klasma.github.io/Logging_0764/tillsynsmail/A 47462-2024 tillsynsbegäran mail.docx", "A 47462-2024")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46258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A 18207-2023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45041</v>
      </c>
      <c r="E16" s="1" t="n">
        <v>46258</v>
      </c>
      <c r="F16" t="inlineStr">
        <is>
          <t>KRONOBERGS LÄN</t>
        </is>
      </c>
      <c r="G16" t="inlineStr">
        <is>
          <t>ALVESTA</t>
        </is>
      </c>
      <c r="I16" t="n">
        <v>2.1</v>
      </c>
      <c r="J16" t="n">
        <v>0</v>
      </c>
      <c r="K16" t="n">
        <v>0</v>
      </c>
      <c r="L16" t="n">
        <v>0</v>
      </c>
      <c r="M16" t="n">
        <v>2</v>
      </c>
      <c r="N16" t="n">
        <v>1</v>
      </c>
      <c r="O16" t="n">
        <v>0</v>
      </c>
      <c r="P16" t="n">
        <v>0</v>
      </c>
      <c r="Q16" t="n">
        <v>3</v>
      </c>
      <c r="R16" t="n">
        <v>3</v>
      </c>
      <c r="S16" t="n">
        <v>3</v>
      </c>
      <c r="T16" t="n">
        <v>5</v>
      </c>
      <c r="U16" t="n">
        <v>4</v>
      </c>
      <c r="V16" s="2" t="inlineStr">
        <is>
          <t>Ask
Gulvit blekspik
Liten blekspik</t>
        </is>
      </c>
      <c r="W16">
        <f>HYPERLINK("https://klasma.github.io/Logging_0764/artfynd/A 18207-2023 artfynd.xlsx", "A 18207-2023")</f>
        <v/>
      </c>
      <c r="X16">
        <f>HYPERLINK("https://klasma.github.io/Logging_0764/kartor/A 18207-2023 karta.png", "A 18207-2023")</f>
        <v/>
      </c>
      <c r="Y16">
        <f>HYPERLINK("https://klasma.github.io/Logging_0764/kartor_geotiff/A 18207-2023 georefererad karta.tif", "A 18207-2023")</f>
        <v/>
      </c>
      <c r="AA16">
        <f>HYPERLINK("https://klasma.github.io/Logging_0764/klagomål/A 18207-2023 FSC-klagomål.docx", "A 18207-2023")</f>
        <v/>
      </c>
      <c r="AB16">
        <f>HYPERLINK("https://klasma.github.io/Logging_0764/klagomålsmail/A 18207-2023 FSC-klagomål mail.docx", "A 18207-2023")</f>
        <v/>
      </c>
      <c r="AC16">
        <f>HYPERLINK("https://klasma.github.io/Logging_0764/tillsyn/A 18207-2023 tillsynsbegäran.docx", "A 18207-2023")</f>
        <v/>
      </c>
      <c r="AD16">
        <f>HYPERLINK("https://klasma.github.io/Logging_0764/tillsynsmail/A 18207-2023 tillsynsbegäran mail.docx", "A 18207-2023")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46258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46258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46258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46258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46258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46258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46258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46258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46258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46258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46258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46258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46258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46258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46258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46258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46258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35279-2022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46258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3.8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2</v>
      </c>
      <c r="V34" s="2" t="inlineStr">
        <is>
          <t>Knärot</t>
        </is>
      </c>
      <c r="W34">
        <f>HYPERLINK("https://klasma.github.io/Logging_0764/artfynd/A 35279-2022 artfynd.xlsx", "A 35279-2022")</f>
        <v/>
      </c>
      <c r="X34">
        <f>HYPERLINK("https://klasma.github.io/Logging_0764/kartor/A 35279-2022 karta.png", "A 35279-2022")</f>
        <v/>
      </c>
      <c r="Y34">
        <f>HYPERLINK("https://klasma.github.io/Logging_0764/kartor_geotiff/A 35279-2022 georefererad karta.tif", "A 35279-2022")</f>
        <v/>
      </c>
      <c r="Z34">
        <f>HYPERLINK("https://klasma.github.io/Logging_0764/knärot/A 35279-2022 karta knärot.png", "A 35279-2022")</f>
        <v/>
      </c>
      <c r="AA34">
        <f>HYPERLINK("https://klasma.github.io/Logging_0764/klagomål/A 35279-2022 FSC-klagomål.docx", "A 35279-2022")</f>
        <v/>
      </c>
      <c r="AB34">
        <f>HYPERLINK("https://klasma.github.io/Logging_0764/klagomålsmail/A 35279-2022 FSC-klagomål mail.docx", "A 35279-2022")</f>
        <v/>
      </c>
      <c r="AC34">
        <f>HYPERLINK("https://klasma.github.io/Logging_0764/tillsyn/A 35279-2022 tillsynsbegäran.docx", "A 35279-2022")</f>
        <v/>
      </c>
      <c r="AD34">
        <f>HYPERLINK("https://klasma.github.io/Logging_0764/tillsynsmail/A 35279-2022 tillsynsbegäran mail.docx", "A 35279-2022")</f>
        <v/>
      </c>
    </row>
    <row r="35" ht="15" customHeight="1">
      <c r="A35" t="inlineStr">
        <is>
          <t>A 22238-2024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46258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Klockgentiana</t>
        </is>
      </c>
      <c r="W35">
        <f>HYPERLINK("https://klasma.github.io/Logging_0764/artfynd/A 22238-2024 artfynd.xlsx", "A 22238-2024")</f>
        <v/>
      </c>
      <c r="X35">
        <f>HYPERLINK("https://klasma.github.io/Logging_0764/kartor/A 22238-2024 karta.png", "A 22238-2024")</f>
        <v/>
      </c>
      <c r="Y35">
        <f>HYPERLINK("https://klasma.github.io/Logging_0764/kartor_geotiff/A 22238-2024 georefererad karta.tif", "A 22238-2024")</f>
        <v/>
      </c>
      <c r="AA35">
        <f>HYPERLINK("https://klasma.github.io/Logging_0764/klagomål/A 22238-2024 FSC-klagomål.docx", "A 22238-2024")</f>
        <v/>
      </c>
      <c r="AB35">
        <f>HYPERLINK("https://klasma.github.io/Logging_0764/klagomålsmail/A 22238-2024 FSC-klagomål mail.docx", "A 22238-2024")</f>
        <v/>
      </c>
      <c r="AC35">
        <f>HYPERLINK("https://klasma.github.io/Logging_0764/tillsyn/A 22238-2024 tillsynsbegäran.docx", "A 22238-2024")</f>
        <v/>
      </c>
      <c r="AD35">
        <f>HYPERLINK("https://klasma.github.io/Logging_0764/tillsynsmail/A 22238-2024 tillsynsbegäran mail.docx", "A 22238-2024")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46258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30604-2023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46258</v>
      </c>
      <c r="F37" t="inlineStr">
        <is>
          <t>KRONOBERGS LÄN</t>
        </is>
      </c>
      <c r="G37" t="inlineStr">
        <is>
          <t>ALVESTA</t>
        </is>
      </c>
      <c r="I37" t="n">
        <v>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Orre</t>
        </is>
      </c>
      <c r="W37">
        <f>HYPERLINK("https://klasma.github.io/Logging_0764/artfynd/A 30604-2023 artfynd.xlsx", "A 30604-2023")</f>
        <v/>
      </c>
      <c r="X37">
        <f>HYPERLINK("https://klasma.github.io/Logging_0764/kartor/A 30604-2023 karta.png", "A 30604-2023")</f>
        <v/>
      </c>
      <c r="Y37">
        <f>HYPERLINK("https://klasma.github.io/Logging_0764/kartor_geotiff/A 30604-2023 georefererad karta.tif", "A 30604-2023")</f>
        <v/>
      </c>
      <c r="AA37">
        <f>HYPERLINK("https://klasma.github.io/Logging_0764/klagomål/A 30604-2023 FSC-klagomål.docx", "A 30604-2023")</f>
        <v/>
      </c>
      <c r="AB37">
        <f>HYPERLINK("https://klasma.github.io/Logging_0764/klagomålsmail/A 30604-2023 FSC-klagomål mail.docx", "A 30604-2023")</f>
        <v/>
      </c>
      <c r="AC37">
        <f>HYPERLINK("https://klasma.github.io/Logging_0764/tillsyn/A 30604-2023 tillsynsbegäran.docx", "A 30604-2023")</f>
        <v/>
      </c>
      <c r="AD37">
        <f>HYPERLINK("https://klasma.github.io/Logging_0764/tillsynsmail/A 30604-2023 tillsynsbegäran mail.docx", "A 30604-2023")</f>
        <v/>
      </c>
      <c r="AE37">
        <f>HYPERLINK("https://klasma.github.io/Logging_0764/fåglar/A 30604-2023 prioriterade fågelarter.docx", "A 30604-2023")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46258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46258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46258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46258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46258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46258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46258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32786-2026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46241</v>
      </c>
      <c r="E45" s="1" t="n">
        <v>46258</v>
      </c>
      <c r="F45" t="inlineStr">
        <is>
          <t>KRONOBERGS LÄN</t>
        </is>
      </c>
      <c r="G45" t="inlineStr">
        <is>
          <t>ALVESTA</t>
        </is>
      </c>
      <c r="I45" t="n">
        <v>13.9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Bohuslind</t>
        </is>
      </c>
      <c r="W45">
        <f>HYPERLINK("https://klasma.github.io/Logging_0764/artfynd/A 32786-2026 artfynd.xlsx", "A 32786-2026")</f>
        <v/>
      </c>
      <c r="X45">
        <f>HYPERLINK("https://klasma.github.io/Logging_0764/kartor/A 32786-2026 karta.png", "A 32786-2026")</f>
        <v/>
      </c>
      <c r="Y45">
        <f>HYPERLINK("https://klasma.github.io/Logging_0764/kartor_geotiff/A 32786-2026 georefererad karta.tif", "A 32786-2026")</f>
        <v/>
      </c>
      <c r="AA45">
        <f>HYPERLINK("https://klasma.github.io/Logging_0764/klagomål/A 32786-2026 FSC-klagomål.docx", "A 32786-2026")</f>
        <v/>
      </c>
      <c r="AB45">
        <f>HYPERLINK("https://klasma.github.io/Logging_0764/klagomålsmail/A 32786-2026 FSC-klagomål mail.docx", "A 32786-2026")</f>
        <v/>
      </c>
      <c r="AC45">
        <f>HYPERLINK("https://klasma.github.io/Logging_0764/tillsyn/A 32786-2026 tillsynsbegäran.docx", "A 32786-2026")</f>
        <v/>
      </c>
      <c r="AD45">
        <f>HYPERLINK("https://klasma.github.io/Logging_0764/tillsynsmail/A 32786-2026 tillsynsbegäran mail.docx", "A 32786-2026")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46258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46258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46258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46348-2021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46258</v>
      </c>
      <c r="F49" t="inlineStr">
        <is>
          <t>KRONOBERGS LÄN</t>
        </is>
      </c>
      <c r="G49" t="inlineStr">
        <is>
          <t>ALVESTA</t>
        </is>
      </c>
      <c r="I49" t="n">
        <v>3.9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HYPERLINK("https://klasma.github.io/Logging_0764/artfynd/A 46348-2021 artfynd.xlsx", "A 46348-2021")</f>
        <v/>
      </c>
      <c r="X49">
        <f>HYPERLINK("https://klasma.github.io/Logging_0764/kartor/A 46348-2021 karta.png", "A 46348-2021")</f>
        <v/>
      </c>
      <c r="Y49">
        <f>HYPERLINK("https://klasma.github.io/Logging_0764/kartor_geotiff/A 46348-2021 georefererad karta.tif", "A 46348-2021")</f>
        <v/>
      </c>
      <c r="AA49">
        <f>HYPERLINK("https://klasma.github.io/Logging_0764/klagomål/A 46348-2021 FSC-klagomål.docx", "A 46348-2021")</f>
        <v/>
      </c>
      <c r="AB49">
        <f>HYPERLINK("https://klasma.github.io/Logging_0764/klagomålsmail/A 46348-2021 FSC-klagomål mail.docx", "A 46348-2021")</f>
        <v/>
      </c>
      <c r="AC49">
        <f>HYPERLINK("https://klasma.github.io/Logging_0764/tillsyn/A 46348-2021 tillsynsbegäran.docx", "A 46348-2021")</f>
        <v/>
      </c>
      <c r="AD49">
        <f>HYPERLINK("https://klasma.github.io/Logging_0764/tillsynsmail/A 46348-2021 tillsynsbegäran mail.docx", "A 46348-2021")</f>
        <v/>
      </c>
      <c r="AE49">
        <f>HYPERLINK("https://klasma.github.io/Logging_0764/fåglar/A 46348-2021 prioriterade fågelarter.docx", "A 46348-2021")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46258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46258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46258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46258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46258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46258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46258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46258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46258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46258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46258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46258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46258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46258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46258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46258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46258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46258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46258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46258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46258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46258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46258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46258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46258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46258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46258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46258</v>
      </c>
      <c r="F78" t="inlineStr">
        <is>
          <t>KRONOBERGS LÄN</t>
        </is>
      </c>
      <c r="G78" t="inlineStr">
        <is>
          <t>ALVESTA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42911-2021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46258</v>
      </c>
      <c r="F79" t="inlineStr">
        <is>
          <t>KRONOBERGS LÄN</t>
        </is>
      </c>
      <c r="G79" t="inlineStr">
        <is>
          <t>ALVESTA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46258</v>
      </c>
      <c r="F80" t="inlineStr">
        <is>
          <t>KRONOBERGS LÄN</t>
        </is>
      </c>
      <c r="G80" t="inlineStr">
        <is>
          <t>ALVESTA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46258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46258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46258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46258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46258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46258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46258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46258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46258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46258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46258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46258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46258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46258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46258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46258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46258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46258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46258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46258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46258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46258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46258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46258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46258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46258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46258</v>
      </c>
      <c r="F107" t="inlineStr">
        <is>
          <t>KRONOBERGS LÄN</t>
        </is>
      </c>
      <c r="G107" t="inlineStr">
        <is>
          <t>ALVESTA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44538</v>
      </c>
      <c r="E108" s="1" t="n">
        <v>46258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51310-2021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44461</v>
      </c>
      <c r="E109" s="1" t="n">
        <v>46258</v>
      </c>
      <c r="F109" t="inlineStr">
        <is>
          <t>KRONOBERGS LÄN</t>
        </is>
      </c>
      <c r="G109" t="inlineStr">
        <is>
          <t>ALVESTA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46258</v>
      </c>
      <c r="F110" t="inlineStr">
        <is>
          <t>KRONOBERGS LÄN</t>
        </is>
      </c>
      <c r="G110" t="inlineStr">
        <is>
          <t>ALVESTA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46258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46258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46258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25220-2025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45798</v>
      </c>
      <c r="E114" s="1" t="n">
        <v>46258</v>
      </c>
      <c r="F114" t="inlineStr">
        <is>
          <t>KRONOBERGS LÄN</t>
        </is>
      </c>
      <c r="G114" t="inlineStr">
        <is>
          <t>ALVESTA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6489-2022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44601</v>
      </c>
      <c r="E115" s="1" t="n">
        <v>46258</v>
      </c>
      <c r="F115" t="inlineStr">
        <is>
          <t>KRONOBERGS LÄN</t>
        </is>
      </c>
      <c r="G115" t="inlineStr">
        <is>
          <t>ALVESTA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46258</v>
      </c>
      <c r="F116" t="inlineStr">
        <is>
          <t>KRONOBERGS LÄN</t>
        </is>
      </c>
      <c r="G116" t="inlineStr">
        <is>
          <t>ALVESTA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46258</v>
      </c>
      <c r="F117" t="inlineStr">
        <is>
          <t>KRONOBERGS LÄN</t>
        </is>
      </c>
      <c r="G117" t="inlineStr">
        <is>
          <t>ALVESTA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46258</v>
      </c>
      <c r="F118" t="inlineStr">
        <is>
          <t>KRONOBERGS LÄN</t>
        </is>
      </c>
      <c r="G118" t="inlineStr">
        <is>
          <t>ALVESTA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45782</v>
      </c>
      <c r="E119" s="1" t="n">
        <v>46258</v>
      </c>
      <c r="F119" t="inlineStr">
        <is>
          <t>KRONOBERGS LÄN</t>
        </is>
      </c>
      <c r="G119" t="inlineStr">
        <is>
          <t>ALVESTA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46258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46258</v>
      </c>
      <c r="F121" t="inlineStr">
        <is>
          <t>KRONOBERGS LÄN</t>
        </is>
      </c>
      <c r="G121" t="inlineStr">
        <is>
          <t>ALVESTA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44957</v>
      </c>
      <c r="E122" s="1" t="n">
        <v>46258</v>
      </c>
      <c r="F122" t="inlineStr">
        <is>
          <t>KRONOBERGS LÄN</t>
        </is>
      </c>
      <c r="G122" t="inlineStr">
        <is>
          <t>ALVESTA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46258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46258</v>
      </c>
      <c r="F124" t="inlineStr">
        <is>
          <t>KRONOBERGS LÄN</t>
        </is>
      </c>
      <c r="G124" t="inlineStr">
        <is>
          <t>ALVESTA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46258</v>
      </c>
      <c r="F125" t="inlineStr">
        <is>
          <t>KRONOBERGS LÄN</t>
        </is>
      </c>
      <c r="G125" t="inlineStr">
        <is>
          <t>ALVESTA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46258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46258</v>
      </c>
      <c r="F127" t="inlineStr">
        <is>
          <t>KRONOBERGS LÄN</t>
        </is>
      </c>
      <c r="G127" t="inlineStr">
        <is>
          <t>ALVESTA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44469</v>
      </c>
      <c r="E128" s="1" t="n">
        <v>46258</v>
      </c>
      <c r="F128" t="inlineStr">
        <is>
          <t>KRONOBERGS LÄN</t>
        </is>
      </c>
      <c r="G128" t="inlineStr">
        <is>
          <t>ALVESTA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46258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45095</v>
      </c>
      <c r="E130" s="1" t="n">
        <v>46258</v>
      </c>
      <c r="F130" t="inlineStr">
        <is>
          <t>KRONOBERGS LÄN</t>
        </is>
      </c>
      <c r="G130" t="inlineStr">
        <is>
          <t>ALVESTA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44477</v>
      </c>
      <c r="E131" s="1" t="n">
        <v>46258</v>
      </c>
      <c r="F131" t="inlineStr">
        <is>
          <t>KRONOBERGS LÄN</t>
        </is>
      </c>
      <c r="G131" t="inlineStr">
        <is>
          <t>ALVESTA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46258</v>
      </c>
      <c r="F132" t="inlineStr">
        <is>
          <t>KRONOBERGS LÄN</t>
        </is>
      </c>
      <c r="G132" t="inlineStr">
        <is>
          <t>ALVESTA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45563</v>
      </c>
      <c r="E133" s="1" t="n">
        <v>46258</v>
      </c>
      <c r="F133" t="inlineStr">
        <is>
          <t>KRONOBERGS LÄN</t>
        </is>
      </c>
      <c r="G133" t="inlineStr">
        <is>
          <t>ALVESTA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46258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46258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46258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46258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46258</v>
      </c>
      <c r="F138" t="inlineStr">
        <is>
          <t>KRONOBERGS LÄN</t>
        </is>
      </c>
      <c r="G138" t="inlineStr">
        <is>
          <t>ALVESTA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46258</v>
      </c>
      <c r="F139" t="inlineStr">
        <is>
          <t>KRONOBERGS LÄN</t>
        </is>
      </c>
      <c r="G139" t="inlineStr">
        <is>
          <t>ALVESTA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46258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46258</v>
      </c>
      <c r="F141" t="inlineStr">
        <is>
          <t>KRONOBERGS LÄN</t>
        </is>
      </c>
      <c r="G141" t="inlineStr">
        <is>
          <t>ALVESTA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44706</v>
      </c>
      <c r="E142" s="1" t="n">
        <v>46258</v>
      </c>
      <c r="F142" t="inlineStr">
        <is>
          <t>KRONOBERGS LÄN</t>
        </is>
      </c>
      <c r="G142" t="inlineStr">
        <is>
          <t>ALVESTA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46258</v>
      </c>
      <c r="F143" t="inlineStr">
        <is>
          <t>KRONOBERGS LÄN</t>
        </is>
      </c>
      <c r="G143" t="inlineStr">
        <is>
          <t>ALVESTA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46258</v>
      </c>
      <c r="F144" t="inlineStr">
        <is>
          <t>KRONOBERGS LÄN</t>
        </is>
      </c>
      <c r="G144" t="inlineStr">
        <is>
          <t>ALVESTA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44480</v>
      </c>
      <c r="E145" s="1" t="n">
        <v>46258</v>
      </c>
      <c r="F145" t="inlineStr">
        <is>
          <t>KRONOBERGS LÄN</t>
        </is>
      </c>
      <c r="G145" t="inlineStr">
        <is>
          <t>ALVESTA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46258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46258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46258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46258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46258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46258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46258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46258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46258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46258</v>
      </c>
      <c r="F155" t="inlineStr">
        <is>
          <t>KRONOBERGS LÄN</t>
        </is>
      </c>
      <c r="G155" t="inlineStr">
        <is>
          <t>ALVESTA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44743</v>
      </c>
      <c r="E156" s="1" t="n">
        <v>46258</v>
      </c>
      <c r="F156" t="inlineStr">
        <is>
          <t>KRONOBERGS LÄN</t>
        </is>
      </c>
      <c r="G156" t="inlineStr">
        <is>
          <t>ALVESTA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44670</v>
      </c>
      <c r="E157" s="1" t="n">
        <v>46258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46258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45400</v>
      </c>
      <c r="E159" s="1" t="n">
        <v>46258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46258</v>
      </c>
      <c r="F160" t="inlineStr">
        <is>
          <t>KRONOBERGS LÄN</t>
        </is>
      </c>
      <c r="G160" t="inlineStr">
        <is>
          <t>ALVESTA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46258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44783</v>
      </c>
      <c r="E162" s="1" t="n">
        <v>46258</v>
      </c>
      <c r="F162" t="inlineStr">
        <is>
          <t>KRONOBERGS LÄN</t>
        </is>
      </c>
      <c r="G162" t="inlineStr">
        <is>
          <t>ALVESTA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45901</v>
      </c>
      <c r="E163" s="1" t="n">
        <v>46258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46258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46258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46258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45342</v>
      </c>
      <c r="E167" s="1" t="n">
        <v>46258</v>
      </c>
      <c r="F167" t="inlineStr">
        <is>
          <t>KRONOBERGS LÄN</t>
        </is>
      </c>
      <c r="G167" t="inlineStr">
        <is>
          <t>ALVESTA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46258</v>
      </c>
      <c r="F168" t="inlineStr">
        <is>
          <t>KRONOBERGS LÄN</t>
        </is>
      </c>
      <c r="G168" t="inlineStr">
        <is>
          <t>ALVESTA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46258</v>
      </c>
      <c r="F169" t="inlineStr">
        <is>
          <t>KRONOBERGS LÄN</t>
        </is>
      </c>
      <c r="G169" t="inlineStr">
        <is>
          <t>ALVESTA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46258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46258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46258</v>
      </c>
      <c r="F172" t="inlineStr">
        <is>
          <t>KRONOBERGS LÄN</t>
        </is>
      </c>
      <c r="G172" t="inlineStr">
        <is>
          <t>ALVESTA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44991</v>
      </c>
      <c r="E173" s="1" t="n">
        <v>46258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46258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46258</v>
      </c>
      <c r="F175" t="inlineStr">
        <is>
          <t>KRONOBERGS LÄN</t>
        </is>
      </c>
      <c r="G175" t="inlineStr">
        <is>
          <t>ALVESTA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44783</v>
      </c>
      <c r="E176" s="1" t="n">
        <v>46258</v>
      </c>
      <c r="F176" t="inlineStr">
        <is>
          <t>KRONOBERGS LÄN</t>
        </is>
      </c>
      <c r="G176" t="inlineStr">
        <is>
          <t>ALVESTA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46258</v>
      </c>
      <c r="F177" t="inlineStr">
        <is>
          <t>KRONOBERGS LÄN</t>
        </is>
      </c>
      <c r="G177" t="inlineStr">
        <is>
          <t>ALVESTA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46258</v>
      </c>
      <c r="F178" t="inlineStr">
        <is>
          <t>KRONOBERGS LÄN</t>
        </is>
      </c>
      <c r="G178" t="inlineStr">
        <is>
          <t>ALVESTA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46258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46258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46258</v>
      </c>
      <c r="F181" t="inlineStr">
        <is>
          <t>KRONOBERGS LÄN</t>
        </is>
      </c>
      <c r="G181" t="inlineStr">
        <is>
          <t>ALVESTA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46258</v>
      </c>
      <c r="F182" t="inlineStr">
        <is>
          <t>KRONOBERGS LÄN</t>
        </is>
      </c>
      <c r="G182" t="inlineStr">
        <is>
          <t>ALVESTA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46258</v>
      </c>
      <c r="F183" t="inlineStr">
        <is>
          <t>KRONOBERGS LÄN</t>
        </is>
      </c>
      <c r="G183" t="inlineStr">
        <is>
          <t>ALVESTA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44569</v>
      </c>
      <c r="E184" s="1" t="n">
        <v>46258</v>
      </c>
      <c r="F184" t="inlineStr">
        <is>
          <t>KRONOBERGS LÄN</t>
        </is>
      </c>
      <c r="G184" t="inlineStr">
        <is>
          <t>ALVESTA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46258</v>
      </c>
      <c r="F185" t="inlineStr">
        <is>
          <t>KRONOBERGS LÄN</t>
        </is>
      </c>
      <c r="G185" t="inlineStr">
        <is>
          <t>ALVESTA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46258</v>
      </c>
      <c r="F186" t="inlineStr">
        <is>
          <t>KRONOBERGS LÄN</t>
        </is>
      </c>
      <c r="G186" t="inlineStr">
        <is>
          <t>ALVESTA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46258</v>
      </c>
      <c r="F187" t="inlineStr">
        <is>
          <t>KRONOBERGS LÄN</t>
        </is>
      </c>
      <c r="G187" t="inlineStr">
        <is>
          <t>ALVESTA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44985</v>
      </c>
      <c r="E188" s="1" t="n">
        <v>46258</v>
      </c>
      <c r="F188" t="inlineStr">
        <is>
          <t>KRONOBERGS LÄN</t>
        </is>
      </c>
      <c r="G188" t="inlineStr">
        <is>
          <t>ALVESTA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46258</v>
      </c>
      <c r="F189" t="inlineStr">
        <is>
          <t>KRONOBERGS LÄN</t>
        </is>
      </c>
      <c r="G189" t="inlineStr">
        <is>
          <t>ALVESTA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46258</v>
      </c>
      <c r="F190" t="inlineStr">
        <is>
          <t>KRONOBERGS LÄN</t>
        </is>
      </c>
      <c r="G190" t="inlineStr">
        <is>
          <t>ALVESTA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46258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44783</v>
      </c>
      <c r="E192" s="1" t="n">
        <v>46258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46258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46258</v>
      </c>
      <c r="F194" t="inlineStr">
        <is>
          <t>KRONOBERGS LÄN</t>
        </is>
      </c>
      <c r="G194" t="inlineStr">
        <is>
          <t>ALVESTA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46258</v>
      </c>
      <c r="F195" t="inlineStr">
        <is>
          <t>KRONOBERGS LÄN</t>
        </is>
      </c>
      <c r="G195" t="inlineStr">
        <is>
          <t>ALVESTA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45916</v>
      </c>
      <c r="E196" s="1" t="n">
        <v>46258</v>
      </c>
      <c r="F196" t="inlineStr">
        <is>
          <t>KRONOBERGS LÄN</t>
        </is>
      </c>
      <c r="G196" t="inlineStr">
        <is>
          <t>ALVESTA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46258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46258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46258</v>
      </c>
      <c r="F199" t="inlineStr">
        <is>
          <t>KRONOBERGS LÄN</t>
        </is>
      </c>
      <c r="G199" t="inlineStr">
        <is>
          <t>ALVESTA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46258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46258</v>
      </c>
      <c r="F201" t="inlineStr">
        <is>
          <t>KRONOBERGS LÄN</t>
        </is>
      </c>
      <c r="G201" t="inlineStr">
        <is>
          <t>ALVESTA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46258</v>
      </c>
      <c r="F202" t="inlineStr">
        <is>
          <t>KRONOBERGS LÄN</t>
        </is>
      </c>
      <c r="G202" t="inlineStr">
        <is>
          <t>ALVESTA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46258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46258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46258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44816</v>
      </c>
      <c r="E206" s="1" t="n">
        <v>46258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46258</v>
      </c>
      <c r="F207" t="inlineStr">
        <is>
          <t>KRONOBERGS LÄN</t>
        </is>
      </c>
      <c r="G207" t="inlineStr">
        <is>
          <t>ALVESTA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45860</v>
      </c>
      <c r="E208" s="1" t="n">
        <v>46258</v>
      </c>
      <c r="F208" t="inlineStr">
        <is>
          <t>KRONOBERGS LÄN</t>
        </is>
      </c>
      <c r="G208" t="inlineStr">
        <is>
          <t>ALVESTA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46258</v>
      </c>
      <c r="F209" t="inlineStr">
        <is>
          <t>KRONOBERGS LÄN</t>
        </is>
      </c>
      <c r="G209" t="inlineStr">
        <is>
          <t>ALVESTA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46258</v>
      </c>
      <c r="F210" t="inlineStr">
        <is>
          <t>KRONOBERGS LÄN</t>
        </is>
      </c>
      <c r="G210" t="inlineStr">
        <is>
          <t>ALVESTA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46258</v>
      </c>
      <c r="F211" t="inlineStr">
        <is>
          <t>KRONOBERGS LÄN</t>
        </is>
      </c>
      <c r="G211" t="inlineStr">
        <is>
          <t>ALVESTA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44687</v>
      </c>
      <c r="E212" s="1" t="n">
        <v>46258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45217</v>
      </c>
      <c r="E213" s="1" t="n">
        <v>46258</v>
      </c>
      <c r="F213" t="inlineStr">
        <is>
          <t>KRONOBERGS LÄN</t>
        </is>
      </c>
      <c r="G213" t="inlineStr">
        <is>
          <t>ALVESTA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46258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46258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46258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46258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46258</v>
      </c>
      <c r="F218" t="inlineStr">
        <is>
          <t>KRONOBERGS LÄN</t>
        </is>
      </c>
      <c r="G218" t="inlineStr">
        <is>
          <t>ALVESTA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46258</v>
      </c>
      <c r="F219" t="inlineStr">
        <is>
          <t>KRONOBERGS LÄN</t>
        </is>
      </c>
      <c r="G219" t="inlineStr">
        <is>
          <t>ALVESTA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46258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46258</v>
      </c>
      <c r="F221" t="inlineStr">
        <is>
          <t>KRONOBERGS LÄN</t>
        </is>
      </c>
      <c r="G221" t="inlineStr">
        <is>
          <t>ALVESTA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45349</v>
      </c>
      <c r="E222" s="1" t="n">
        <v>46258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46258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46258</v>
      </c>
      <c r="F224" t="inlineStr">
        <is>
          <t>KRONOBERGS LÄN</t>
        </is>
      </c>
      <c r="G224" t="inlineStr">
        <is>
          <t>ALVESTA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46258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46258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46258</v>
      </c>
      <c r="F227" t="inlineStr">
        <is>
          <t>KRONOBERGS LÄN</t>
        </is>
      </c>
      <c r="G227" t="inlineStr">
        <is>
          <t>ALVESTA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45518</v>
      </c>
      <c r="E228" s="1" t="n">
        <v>46258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46258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46258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46258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46258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46258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46258</v>
      </c>
      <c r="F234" t="inlineStr">
        <is>
          <t>KRONOBERGS LÄN</t>
        </is>
      </c>
      <c r="G234" t="inlineStr">
        <is>
          <t>ALVESTA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46258</v>
      </c>
      <c r="F235" t="inlineStr">
        <is>
          <t>KRONOBERGS LÄN</t>
        </is>
      </c>
      <c r="G235" t="inlineStr">
        <is>
          <t>ALVESTA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46258</v>
      </c>
      <c r="F236" t="inlineStr">
        <is>
          <t>KRONOBERGS LÄN</t>
        </is>
      </c>
      <c r="G236" t="inlineStr">
        <is>
          <t>ALVESTA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46258</v>
      </c>
      <c r="F237" t="inlineStr">
        <is>
          <t>KRONOBERGS LÄN</t>
        </is>
      </c>
      <c r="G237" t="inlineStr">
        <is>
          <t>ALVESTA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45890</v>
      </c>
      <c r="E238" s="1" t="n">
        <v>46258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46258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45135</v>
      </c>
      <c r="E240" s="1" t="n">
        <v>46258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46258</v>
      </c>
      <c r="F241" t="inlineStr">
        <is>
          <t>KRONOBERGS LÄN</t>
        </is>
      </c>
      <c r="G241" t="inlineStr">
        <is>
          <t>ALVESTA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46258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44735</v>
      </c>
      <c r="E243" s="1" t="n">
        <v>46258</v>
      </c>
      <c r="F243" t="inlineStr">
        <is>
          <t>KRONOBERGS LÄN</t>
        </is>
      </c>
      <c r="G243" t="inlineStr">
        <is>
          <t>ALVESTA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45247</v>
      </c>
      <c r="E244" s="1" t="n">
        <v>46258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46258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46258</v>
      </c>
      <c r="F246" t="inlineStr">
        <is>
          <t>KRONOBERGS LÄN</t>
        </is>
      </c>
      <c r="G246" t="inlineStr">
        <is>
          <t>ALVESTA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46258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46258</v>
      </c>
      <c r="F248" t="inlineStr">
        <is>
          <t>KRONOBERGS LÄN</t>
        </is>
      </c>
      <c r="G248" t="inlineStr">
        <is>
          <t>ALVESTA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45418</v>
      </c>
      <c r="E249" s="1" t="n">
        <v>46258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46258</v>
      </c>
      <c r="F250" t="inlineStr">
        <is>
          <t>KRONOBERGS LÄN</t>
        </is>
      </c>
      <c r="G250" t="inlineStr">
        <is>
          <t>ALVESTA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46258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46258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46258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46258</v>
      </c>
      <c r="F254" t="inlineStr">
        <is>
          <t>KRONOBERGS LÄN</t>
        </is>
      </c>
      <c r="G254" t="inlineStr">
        <is>
          <t>ALVESTA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46258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46258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45436</v>
      </c>
      <c r="E257" s="1" t="n">
        <v>46258</v>
      </c>
      <c r="F257" t="inlineStr">
        <is>
          <t>KRONOBERGS LÄN</t>
        </is>
      </c>
      <c r="G257" t="inlineStr">
        <is>
          <t>ALVESTA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46258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45418</v>
      </c>
      <c r="E259" s="1" t="n">
        <v>46258</v>
      </c>
      <c r="F259" t="inlineStr">
        <is>
          <t>KRONOBERGS LÄN</t>
        </is>
      </c>
      <c r="G259" t="inlineStr">
        <is>
          <t>ALVESTA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46258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46258</v>
      </c>
      <c r="F261" t="inlineStr">
        <is>
          <t>KRONOBERGS LÄN</t>
        </is>
      </c>
      <c r="G261" t="inlineStr">
        <is>
          <t>ALVESTA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46258</v>
      </c>
      <c r="F262" t="inlineStr">
        <is>
          <t>KRONOBERGS LÄN</t>
        </is>
      </c>
      <c r="G262" t="inlineStr">
        <is>
          <t>ALVESTA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44938</v>
      </c>
      <c r="E263" s="1" t="n">
        <v>46258</v>
      </c>
      <c r="F263" t="inlineStr">
        <is>
          <t>KRONOBERGS LÄN</t>
        </is>
      </c>
      <c r="G263" t="inlineStr">
        <is>
          <t>ALVESTA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46258</v>
      </c>
      <c r="F264" t="inlineStr">
        <is>
          <t>KRONOBERGS LÄN</t>
        </is>
      </c>
      <c r="G264" t="inlineStr">
        <is>
          <t>ALVESTA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46258</v>
      </c>
      <c r="F265" t="inlineStr">
        <is>
          <t>KRONOBERGS LÄN</t>
        </is>
      </c>
      <c r="G265" t="inlineStr">
        <is>
          <t>ALVESTA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46258</v>
      </c>
      <c r="F266" t="inlineStr">
        <is>
          <t>KRONOBERGS LÄN</t>
        </is>
      </c>
      <c r="G266" t="inlineStr">
        <is>
          <t>ALVESTA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45288</v>
      </c>
      <c r="E267" s="1" t="n">
        <v>46258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46258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46258</v>
      </c>
      <c r="F269" t="inlineStr">
        <is>
          <t>KRONOBERGS LÄN</t>
        </is>
      </c>
      <c r="G269" t="inlineStr">
        <is>
          <t>ALVESTA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54015-2023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46258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46258</v>
      </c>
      <c r="F271" t="inlineStr">
        <is>
          <t>KRONOBERGS LÄN</t>
        </is>
      </c>
      <c r="G271" t="inlineStr">
        <is>
          <t>ALVESTA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44818-2024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45574</v>
      </c>
      <c r="E272" s="1" t="n">
        <v>46258</v>
      </c>
      <c r="F272" t="inlineStr">
        <is>
          <t>KRONOBERGS LÄN</t>
        </is>
      </c>
      <c r="G272" t="inlineStr">
        <is>
          <t>ALVESTA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46258</v>
      </c>
      <c r="F273" t="inlineStr">
        <is>
          <t>KRONOBERGS LÄN</t>
        </is>
      </c>
      <c r="G273" t="inlineStr">
        <is>
          <t>ALVESTA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45546</v>
      </c>
      <c r="E274" s="1" t="n">
        <v>46258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46258</v>
      </c>
      <c r="F275" t="inlineStr">
        <is>
          <t>KRONOBERGS LÄN</t>
        </is>
      </c>
      <c r="G275" t="inlineStr">
        <is>
          <t>ALVESTA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46258</v>
      </c>
      <c r="F276" t="inlineStr">
        <is>
          <t>KRONOBERGS LÄN</t>
        </is>
      </c>
      <c r="G276" t="inlineStr">
        <is>
          <t>ALVESTA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46258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46258</v>
      </c>
      <c r="F278" t="inlineStr">
        <is>
          <t>KRONOBERGS LÄN</t>
        </is>
      </c>
      <c r="G278" t="inlineStr">
        <is>
          <t>ALVESTA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46258</v>
      </c>
      <c r="F279" t="inlineStr">
        <is>
          <t>KRONOBERGS LÄN</t>
        </is>
      </c>
      <c r="G279" t="inlineStr">
        <is>
          <t>ALVESTA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46258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46258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46258</v>
      </c>
      <c r="F282" t="inlineStr">
        <is>
          <t>KRONOBERGS LÄN</t>
        </is>
      </c>
      <c r="G282" t="inlineStr">
        <is>
          <t>ALVESTA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46258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46258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46258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46258</v>
      </c>
      <c r="F286" t="inlineStr">
        <is>
          <t>KRONOBERGS LÄN</t>
        </is>
      </c>
      <c r="G286" t="inlineStr">
        <is>
          <t>ALVESTA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45362</v>
      </c>
      <c r="E287" s="1" t="n">
        <v>46258</v>
      </c>
      <c r="F287" t="inlineStr">
        <is>
          <t>KRONOBERGS LÄN</t>
        </is>
      </c>
      <c r="G287" t="inlineStr">
        <is>
          <t>ALVESTA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46258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45436</v>
      </c>
      <c r="E289" s="1" t="n">
        <v>46258</v>
      </c>
      <c r="F289" t="inlineStr">
        <is>
          <t>KRONOBERGS LÄN</t>
        </is>
      </c>
      <c r="G289" t="inlineStr">
        <is>
          <t>ALVESTA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46258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46258</v>
      </c>
      <c r="F291" t="inlineStr">
        <is>
          <t>KRONOBERGS LÄN</t>
        </is>
      </c>
      <c r="G291" t="inlineStr">
        <is>
          <t>ALVESTA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46258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46258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46258</v>
      </c>
      <c r="F294" t="inlineStr">
        <is>
          <t>KRONOBERGS LÄN</t>
        </is>
      </c>
      <c r="G294" t="inlineStr">
        <is>
          <t>ALVESTA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45136</v>
      </c>
      <c r="E295" s="1" t="n">
        <v>46258</v>
      </c>
      <c r="F295" t="inlineStr">
        <is>
          <t>KRONOBERGS LÄN</t>
        </is>
      </c>
      <c r="G295" t="inlineStr">
        <is>
          <t>ALVESTA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46234-2023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46258</v>
      </c>
      <c r="F296" t="inlineStr">
        <is>
          <t>KRONOBERGS LÄN</t>
        </is>
      </c>
      <c r="G296" t="inlineStr">
        <is>
          <t>ALVESTA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46258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46258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45385</v>
      </c>
      <c r="E299" s="1" t="n">
        <v>46258</v>
      </c>
      <c r="F299" t="inlineStr">
        <is>
          <t>KRONOBERGS LÄN</t>
        </is>
      </c>
      <c r="G299" t="inlineStr">
        <is>
          <t>ALVESTA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46258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46258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46258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46258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46258</v>
      </c>
      <c r="F304" t="inlineStr">
        <is>
          <t>KRONOBERGS LÄN</t>
        </is>
      </c>
      <c r="G304" t="inlineStr">
        <is>
          <t>ALVESTA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46258</v>
      </c>
      <c r="F305" t="inlineStr">
        <is>
          <t>KRONOBERGS LÄN</t>
        </is>
      </c>
      <c r="G305" t="inlineStr">
        <is>
          <t>ALVESTA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46258</v>
      </c>
      <c r="F306" t="inlineStr">
        <is>
          <t>KRONOBERGS LÄN</t>
        </is>
      </c>
      <c r="G306" t="inlineStr">
        <is>
          <t>ALVESTA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46258</v>
      </c>
      <c r="F307" t="inlineStr">
        <is>
          <t>KRONOBERGS LÄN</t>
        </is>
      </c>
      <c r="G307" t="inlineStr">
        <is>
          <t>ALVESTA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46258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44657</v>
      </c>
      <c r="E309" s="1" t="n">
        <v>46258</v>
      </c>
      <c r="F309" t="inlineStr">
        <is>
          <t>KRONOBERGS LÄN</t>
        </is>
      </c>
      <c r="G309" t="inlineStr">
        <is>
          <t>ALVESTA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44914</v>
      </c>
      <c r="E310" s="1" t="n">
        <v>46258</v>
      </c>
      <c r="F310" t="inlineStr">
        <is>
          <t>KRONOBERGS LÄN</t>
        </is>
      </c>
      <c r="G310" t="inlineStr">
        <is>
          <t>ALVESTA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45128</v>
      </c>
      <c r="E311" s="1" t="n">
        <v>46258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46258</v>
      </c>
      <c r="F312" t="inlineStr">
        <is>
          <t>KRONOBERGS LÄN</t>
        </is>
      </c>
      <c r="G312" t="inlineStr">
        <is>
          <t>ALVESTA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46258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46258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46258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57118-2023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45245</v>
      </c>
      <c r="E316" s="1" t="n">
        <v>46258</v>
      </c>
      <c r="F316" t="inlineStr">
        <is>
          <t>KRONOBERGS LÄN</t>
        </is>
      </c>
      <c r="G316" t="inlineStr">
        <is>
          <t>ALVESTA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46258</v>
      </c>
      <c r="F317" t="inlineStr">
        <is>
          <t>KRONOBERGS LÄN</t>
        </is>
      </c>
      <c r="G317" t="inlineStr">
        <is>
          <t>ALVESTA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58289-2022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44901</v>
      </c>
      <c r="E318" s="1" t="n">
        <v>46258</v>
      </c>
      <c r="F318" t="inlineStr">
        <is>
          <t>KRONOBERGS LÄN</t>
        </is>
      </c>
      <c r="G318" t="inlineStr">
        <is>
          <t>ALVESTA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46258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46258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46258</v>
      </c>
      <c r="F321" t="inlineStr">
        <is>
          <t>KRONOBERGS LÄN</t>
        </is>
      </c>
      <c r="G321" t="inlineStr">
        <is>
          <t>ALVESTA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46258</v>
      </c>
      <c r="F322" t="inlineStr">
        <is>
          <t>KRONOBERGS LÄN</t>
        </is>
      </c>
      <c r="G322" t="inlineStr">
        <is>
          <t>ALVESTA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46258</v>
      </c>
      <c r="F323" t="inlineStr">
        <is>
          <t>KRONOBERGS LÄN</t>
        </is>
      </c>
      <c r="G323" t="inlineStr">
        <is>
          <t>ALVESTA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45345</v>
      </c>
      <c r="E324" s="1" t="n">
        <v>46258</v>
      </c>
      <c r="F324" t="inlineStr">
        <is>
          <t>KRONOBERGS LÄN</t>
        </is>
      </c>
      <c r="G324" t="inlineStr">
        <is>
          <t>ALVESTA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46258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46258</v>
      </c>
      <c r="F326" t="inlineStr">
        <is>
          <t>KRONOBERGS LÄN</t>
        </is>
      </c>
      <c r="G326" t="inlineStr">
        <is>
          <t>ALVESTA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25261-2024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45462</v>
      </c>
      <c r="E327" s="1" t="n">
        <v>46258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46258</v>
      </c>
      <c r="F328" t="inlineStr">
        <is>
          <t>KRONOBERGS LÄN</t>
        </is>
      </c>
      <c r="G328" t="inlineStr">
        <is>
          <t>ALVESTA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46258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46258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46258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46258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45673</v>
      </c>
      <c r="E333" s="1" t="n">
        <v>46258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58648-2024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45635</v>
      </c>
      <c r="E334" s="1" t="n">
        <v>46258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44948</v>
      </c>
      <c r="E335" s="1" t="n">
        <v>46258</v>
      </c>
      <c r="F335" t="inlineStr">
        <is>
          <t>KRONOBERGS LÄN</t>
        </is>
      </c>
      <c r="G335" t="inlineStr">
        <is>
          <t>ALVESTA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46258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45338</v>
      </c>
      <c r="E337" s="1" t="n">
        <v>46258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46258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46258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60700-2025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45996</v>
      </c>
      <c r="E340" s="1" t="n">
        <v>46258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46258</v>
      </c>
      <c r="F341" t="inlineStr">
        <is>
          <t>KRONOBERGS LÄN</t>
        </is>
      </c>
      <c r="G341" t="inlineStr">
        <is>
          <t>ALVESTA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46258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46258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46258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45324</v>
      </c>
      <c r="E345" s="1" t="n">
        <v>46258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45000</v>
      </c>
      <c r="E346" s="1" t="n">
        <v>46258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45043</v>
      </c>
      <c r="E347" s="1" t="n">
        <v>46258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46258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45771</v>
      </c>
      <c r="E349" s="1" t="n">
        <v>46258</v>
      </c>
      <c r="F349" t="inlineStr">
        <is>
          <t>KRONOBERGS LÄN</t>
        </is>
      </c>
      <c r="G349" t="inlineStr">
        <is>
          <t>ALVESTA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46258</v>
      </c>
      <c r="F350" t="inlineStr">
        <is>
          <t>KRONOBERGS LÄN</t>
        </is>
      </c>
      <c r="G350" t="inlineStr">
        <is>
          <t>ALVESTA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46258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46258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44873</v>
      </c>
      <c r="E353" s="1" t="n">
        <v>46258</v>
      </c>
      <c r="F353" t="inlineStr">
        <is>
          <t>KRONOBERGS LÄN</t>
        </is>
      </c>
      <c r="G353" t="inlineStr">
        <is>
          <t>ALVESTA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46258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45005</v>
      </c>
      <c r="E355" s="1" t="n">
        <v>46258</v>
      </c>
      <c r="F355" t="inlineStr">
        <is>
          <t>KRONOBERGS LÄN</t>
        </is>
      </c>
      <c r="G355" t="inlineStr">
        <is>
          <t>ALVESTA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46258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46258</v>
      </c>
      <c r="F357" t="inlineStr">
        <is>
          <t>KRONOBERGS LÄN</t>
        </is>
      </c>
      <c r="G357" t="inlineStr">
        <is>
          <t>ALVESTA</t>
        </is>
      </c>
      <c r="I357" t="n">
        <v>8.800000000000001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46258</v>
      </c>
      <c r="F358" t="inlineStr">
        <is>
          <t>KRONOBERGS LÄN</t>
        </is>
      </c>
      <c r="G358" t="inlineStr">
        <is>
          <t>ALVESTA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44743</v>
      </c>
      <c r="E359" s="1" t="n">
        <v>46258</v>
      </c>
      <c r="F359" t="inlineStr">
        <is>
          <t>KRONOBERGS LÄN</t>
        </is>
      </c>
      <c r="G359" t="inlineStr">
        <is>
          <t>ALVESTA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44743</v>
      </c>
      <c r="E360" s="1" t="n">
        <v>46258</v>
      </c>
      <c r="F360" t="inlineStr">
        <is>
          <t>KRONOBERGS LÄN</t>
        </is>
      </c>
      <c r="G360" t="inlineStr">
        <is>
          <t>ALVESTA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46258</v>
      </c>
      <c r="F361" t="inlineStr">
        <is>
          <t>KRONOBERGS LÄN</t>
        </is>
      </c>
      <c r="G361" t="inlineStr">
        <is>
          <t>ALVESTA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44820</v>
      </c>
      <c r="E362" s="1" t="n">
        <v>46258</v>
      </c>
      <c r="F362" t="inlineStr">
        <is>
          <t>KRONOBERGS LÄN</t>
        </is>
      </c>
      <c r="G362" t="inlineStr">
        <is>
          <t>ALVESTA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46258</v>
      </c>
      <c r="F363" t="inlineStr">
        <is>
          <t>KRONOBERGS LÄN</t>
        </is>
      </c>
      <c r="G363" t="inlineStr">
        <is>
          <t>ALVESTA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45135</v>
      </c>
      <c r="E364" s="1" t="n">
        <v>46258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51274-2025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45949</v>
      </c>
      <c r="E365" s="1" t="n">
        <v>46258</v>
      </c>
      <c r="F365" t="inlineStr">
        <is>
          <t>KRONOBERGS LÄN</t>
        </is>
      </c>
      <c r="G365" t="inlineStr">
        <is>
          <t>ALVESTA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46258</v>
      </c>
      <c r="F366" t="inlineStr">
        <is>
          <t>KRONOBERGS LÄN</t>
        </is>
      </c>
      <c r="G366" t="inlineStr">
        <is>
          <t>ALVESTA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46258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46258</v>
      </c>
      <c r="F368" t="inlineStr">
        <is>
          <t>KRONOBERGS LÄN</t>
        </is>
      </c>
      <c r="G368" t="inlineStr">
        <is>
          <t>ALVESTA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44487-2021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44435</v>
      </c>
      <c r="E369" s="1" t="n">
        <v>46258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46258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45236</v>
      </c>
      <c r="E371" s="1" t="n">
        <v>46258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46258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45868</v>
      </c>
      <c r="E373" s="1" t="n">
        <v>46258</v>
      </c>
      <c r="F373" t="inlineStr">
        <is>
          <t>KRONOBERGS LÄN</t>
        </is>
      </c>
      <c r="G373" t="inlineStr">
        <is>
          <t>ALVESTA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45467</v>
      </c>
      <c r="E374" s="1" t="n">
        <v>46258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46258</v>
      </c>
      <c r="F375" t="inlineStr">
        <is>
          <t>KRONOBERGS LÄN</t>
        </is>
      </c>
      <c r="G375" t="inlineStr">
        <is>
          <t>ALVESTA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46258</v>
      </c>
      <c r="F376" t="inlineStr">
        <is>
          <t>KRONOBERGS LÄN</t>
        </is>
      </c>
      <c r="G376" t="inlineStr">
        <is>
          <t>ALVESTA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45359</v>
      </c>
      <c r="E377" s="1" t="n">
        <v>46258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46258</v>
      </c>
      <c r="F378" t="inlineStr">
        <is>
          <t>KRONOBERGS LÄN</t>
        </is>
      </c>
      <c r="G378" t="inlineStr">
        <is>
          <t>ALVESTA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46258</v>
      </c>
      <c r="F379" t="inlineStr">
        <is>
          <t>KRONOBERGS LÄN</t>
        </is>
      </c>
      <c r="G379" t="inlineStr">
        <is>
          <t>ALVESTA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46258</v>
      </c>
      <c r="F380" t="inlineStr">
        <is>
          <t>KRONOBERGS LÄN</t>
        </is>
      </c>
      <c r="G380" t="inlineStr">
        <is>
          <t>ALVESTA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45055</v>
      </c>
      <c r="E381" s="1" t="n">
        <v>46258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45128</v>
      </c>
      <c r="E382" s="1" t="n">
        <v>46258</v>
      </c>
      <c r="F382" t="inlineStr">
        <is>
          <t>KRONOBERGS LÄN</t>
        </is>
      </c>
      <c r="G382" t="inlineStr">
        <is>
          <t>ALVESTA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46258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46258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46258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46258</v>
      </c>
      <c r="F386" t="inlineStr">
        <is>
          <t>KRONOBERGS LÄN</t>
        </is>
      </c>
      <c r="G386" t="inlineStr">
        <is>
          <t>ALVESTA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45079</v>
      </c>
      <c r="E387" s="1" t="n">
        <v>46258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67331-2021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44523</v>
      </c>
      <c r="E388" s="1" t="n">
        <v>46258</v>
      </c>
      <c r="F388" t="inlineStr">
        <is>
          <t>KRONOBERGS LÄN</t>
        </is>
      </c>
      <c r="G388" t="inlineStr">
        <is>
          <t>ALVESTA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45678</v>
      </c>
      <c r="E389" s="1" t="n">
        <v>46258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45349</v>
      </c>
      <c r="E390" s="1" t="n">
        <v>46258</v>
      </c>
      <c r="F390" t="inlineStr">
        <is>
          <t>KRONOBERGS LÄN</t>
        </is>
      </c>
      <c r="G390" t="inlineStr">
        <is>
          <t>ALVESTA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46258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45336</v>
      </c>
      <c r="E392" s="1" t="n">
        <v>46258</v>
      </c>
      <c r="F392" t="inlineStr">
        <is>
          <t>KRONOBERGS LÄN</t>
        </is>
      </c>
      <c r="G392" t="inlineStr">
        <is>
          <t>ALVESTA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46258</v>
      </c>
      <c r="F393" t="inlineStr">
        <is>
          <t>KRONOBERGS LÄN</t>
        </is>
      </c>
      <c r="G393" t="inlineStr">
        <is>
          <t>ALVESTA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44893</v>
      </c>
      <c r="E394" s="1" t="n">
        <v>46258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46258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46258</v>
      </c>
      <c r="F396" t="inlineStr">
        <is>
          <t>KRONOBERGS LÄN</t>
        </is>
      </c>
      <c r="G396" t="inlineStr">
        <is>
          <t>ALVESTA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46258</v>
      </c>
      <c r="F397" t="inlineStr">
        <is>
          <t>KRONOBERGS LÄN</t>
        </is>
      </c>
      <c r="G397" t="inlineStr">
        <is>
          <t>ALVESTA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45259</v>
      </c>
      <c r="E398" s="1" t="n">
        <v>46258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44838</v>
      </c>
      <c r="E399" s="1" t="n">
        <v>46258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12818-2025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45733</v>
      </c>
      <c r="E400" s="1" t="n">
        <v>46258</v>
      </c>
      <c r="F400" t="inlineStr">
        <is>
          <t>KRONOBERGS LÄN</t>
        </is>
      </c>
      <c r="G400" t="inlineStr">
        <is>
          <t>ALVESTA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45673</v>
      </c>
      <c r="E401" s="1" t="n">
        <v>46258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46258</v>
      </c>
      <c r="F402" t="inlineStr">
        <is>
          <t>KRONOBERGS LÄN</t>
        </is>
      </c>
      <c r="G402" t="inlineStr">
        <is>
          <t>ALVESTA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46258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46258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46258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45476</v>
      </c>
      <c r="E406" s="1" t="n">
        <v>46258</v>
      </c>
      <c r="F406" t="inlineStr">
        <is>
          <t>KRONOBERGS LÄN</t>
        </is>
      </c>
      <c r="G406" t="inlineStr">
        <is>
          <t>ALVESTA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46258</v>
      </c>
      <c r="F407" t="inlineStr">
        <is>
          <t>KRONOBERGS LÄN</t>
        </is>
      </c>
      <c r="G407" t="inlineStr">
        <is>
          <t>ALVESTA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45875</v>
      </c>
      <c r="E408" s="1" t="n">
        <v>46258</v>
      </c>
      <c r="F408" t="inlineStr">
        <is>
          <t>KRONOBERGS LÄN</t>
        </is>
      </c>
      <c r="G408" t="inlineStr">
        <is>
          <t>ALVESTA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39263-2023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45166</v>
      </c>
      <c r="E409" s="1" t="n">
        <v>46258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46258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46258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24419-2026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46169</v>
      </c>
      <c r="E412" s="1" t="n">
        <v>46258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45155</v>
      </c>
      <c r="E413" s="1" t="n">
        <v>46258</v>
      </c>
      <c r="F413" t="inlineStr">
        <is>
          <t>KRONOBERGS LÄN</t>
        </is>
      </c>
      <c r="G413" t="inlineStr">
        <is>
          <t>ALVESTA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24420-2026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46169</v>
      </c>
      <c r="E414" s="1" t="n">
        <v>46258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46258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46170</v>
      </c>
      <c r="E416" s="1" t="n">
        <v>46258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46258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46258</v>
      </c>
      <c r="F418" t="inlineStr">
        <is>
          <t>KRONOBERGS LÄN</t>
        </is>
      </c>
      <c r="G418" t="inlineStr">
        <is>
          <t>ALVESTA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46258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46258</v>
      </c>
      <c r="F420" t="inlineStr">
        <is>
          <t>KRONOBERGS LÄN</t>
        </is>
      </c>
      <c r="G420" t="inlineStr">
        <is>
          <t>ALVESTA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38899-2024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45547</v>
      </c>
      <c r="E421" s="1" t="n">
        <v>46258</v>
      </c>
      <c r="F421" t="inlineStr">
        <is>
          <t>KRONOBERGS LÄN</t>
        </is>
      </c>
      <c r="G421" t="inlineStr">
        <is>
          <t>ALVESTA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46258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46258</v>
      </c>
      <c r="F423" t="inlineStr">
        <is>
          <t>KRONOBERGS LÄN</t>
        </is>
      </c>
      <c r="G423" t="inlineStr">
        <is>
          <t>ALVESTA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46258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46258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46258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45744</v>
      </c>
      <c r="E427" s="1" t="n">
        <v>46258</v>
      </c>
      <c r="F427" t="inlineStr">
        <is>
          <t>KRONOBERGS LÄN</t>
        </is>
      </c>
      <c r="G427" t="inlineStr">
        <is>
          <t>ALVESTA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46258</v>
      </c>
      <c r="F428" t="inlineStr">
        <is>
          <t>KRONOBERGS LÄN</t>
        </is>
      </c>
      <c r="G428" t="inlineStr">
        <is>
          <t>ALVESTA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45005</v>
      </c>
      <c r="E429" s="1" t="n">
        <v>46258</v>
      </c>
      <c r="F429" t="inlineStr">
        <is>
          <t>KRONOBERGS LÄN</t>
        </is>
      </c>
      <c r="G429" t="inlineStr">
        <is>
          <t>ALVESTA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46258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46258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46258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50733-2023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45217</v>
      </c>
      <c r="E433" s="1" t="n">
        <v>46258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46258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46258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46258</v>
      </c>
      <c r="F436" t="inlineStr">
        <is>
          <t>KRONOBERGS LÄN</t>
        </is>
      </c>
      <c r="G436" t="inlineStr">
        <is>
          <t>ALVESTA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46258</v>
      </c>
      <c r="F437" t="inlineStr">
        <is>
          <t>KRONOBERGS LÄN</t>
        </is>
      </c>
      <c r="G437" t="inlineStr">
        <is>
          <t>ALVESTA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46258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46258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46258</v>
      </c>
      <c r="F440" t="inlineStr">
        <is>
          <t>KRONOBERGS LÄN</t>
        </is>
      </c>
      <c r="G440" t="inlineStr">
        <is>
          <t>ALVESTA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46258</v>
      </c>
      <c r="F441" t="inlineStr">
        <is>
          <t>KRONOBERGS LÄN</t>
        </is>
      </c>
      <c r="G441" t="inlineStr">
        <is>
          <t>ALVESTA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46258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46258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46258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45680</v>
      </c>
      <c r="E445" s="1" t="n">
        <v>46258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46258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45305</v>
      </c>
      <c r="E447" s="1" t="n">
        <v>46258</v>
      </c>
      <c r="F447" t="inlineStr">
        <is>
          <t>KRONOBERGS LÄN</t>
        </is>
      </c>
      <c r="G447" t="inlineStr">
        <is>
          <t>ALVESTA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46258</v>
      </c>
      <c r="F448" t="inlineStr">
        <is>
          <t>KRONOBERGS LÄN</t>
        </is>
      </c>
      <c r="G448" t="inlineStr">
        <is>
          <t>ALVESTA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46258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11331-2026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46081</v>
      </c>
      <c r="E450" s="1" t="n">
        <v>46258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46258</v>
      </c>
      <c r="F451" t="inlineStr">
        <is>
          <t>KRONOBERGS LÄN</t>
        </is>
      </c>
      <c r="G451" t="inlineStr">
        <is>
          <t>ALVESTA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46258</v>
      </c>
      <c r="F452" t="inlineStr">
        <is>
          <t>KRONOBERGS LÄN</t>
        </is>
      </c>
      <c r="G452" t="inlineStr">
        <is>
          <t>ALVESTA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46258</v>
      </c>
      <c r="F453" t="inlineStr">
        <is>
          <t>KRONOBERGS LÄN</t>
        </is>
      </c>
      <c r="G453" t="inlineStr">
        <is>
          <t>ALVESTA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45613</v>
      </c>
      <c r="E454" s="1" t="n">
        <v>46258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12258-2026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46087</v>
      </c>
      <c r="E455" s="1" t="n">
        <v>46258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46258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27077-2026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46186</v>
      </c>
      <c r="E457" s="1" t="n">
        <v>46258</v>
      </c>
      <c r="F457" t="inlineStr">
        <is>
          <t>KRONOBERGS LÄN</t>
        </is>
      </c>
      <c r="G457" t="inlineStr">
        <is>
          <t>ALVESTA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46258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46258</v>
      </c>
      <c r="F459" t="inlineStr">
        <is>
          <t>KRONOBERGS LÄN</t>
        </is>
      </c>
      <c r="G459" t="inlineStr">
        <is>
          <t>ALVESTA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46258</v>
      </c>
      <c r="F460" t="inlineStr">
        <is>
          <t>KRONOBERGS LÄN</t>
        </is>
      </c>
      <c r="G460" t="inlineStr">
        <is>
          <t>ALVESTA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27032-2026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46185</v>
      </c>
      <c r="E461" s="1" t="n">
        <v>46258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44998</v>
      </c>
      <c r="E462" s="1" t="n">
        <v>46258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46258</v>
      </c>
      <c r="F463" t="inlineStr">
        <is>
          <t>KRONOBERGS LÄN</t>
        </is>
      </c>
      <c r="G463" t="inlineStr">
        <is>
          <t>ALVESTA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46258</v>
      </c>
      <c r="F464" t="inlineStr">
        <is>
          <t>KRONOBERGS LÄN</t>
        </is>
      </c>
      <c r="G464" t="inlineStr">
        <is>
          <t>ALVESTA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45362</v>
      </c>
      <c r="E465" s="1" t="n">
        <v>46258</v>
      </c>
      <c r="F465" t="inlineStr">
        <is>
          <t>KRONOBERGS LÄN</t>
        </is>
      </c>
      <c r="G465" t="inlineStr">
        <is>
          <t>ALVESTA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46258</v>
      </c>
      <c r="F466" t="inlineStr">
        <is>
          <t>KRONOBERGS LÄN</t>
        </is>
      </c>
      <c r="G466" t="inlineStr">
        <is>
          <t>ALVESTA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45644</v>
      </c>
      <c r="E467" s="1" t="n">
        <v>46258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44995</v>
      </c>
      <c r="E468" s="1" t="n">
        <v>46258</v>
      </c>
      <c r="F468" t="inlineStr">
        <is>
          <t>KRONOBERGS LÄN</t>
        </is>
      </c>
      <c r="G468" t="inlineStr">
        <is>
          <t>ALVESTA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46258</v>
      </c>
      <c r="F469" t="inlineStr">
        <is>
          <t>KRONOBERGS LÄN</t>
        </is>
      </c>
      <c r="G469" t="inlineStr">
        <is>
          <t>ALVESTA</t>
        </is>
      </c>
      <c r="H469" t="inlineStr">
        <is>
          <t>Övriga Aktiebolag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46258</v>
      </c>
      <c r="F470" t="inlineStr">
        <is>
          <t>KRONOBERGS LÄN</t>
        </is>
      </c>
      <c r="G470" t="inlineStr">
        <is>
          <t>ALVESTA</t>
        </is>
      </c>
      <c r="H470" t="inlineStr">
        <is>
          <t>Övriga Aktiebolag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46258</v>
      </c>
      <c r="F471" t="inlineStr">
        <is>
          <t>KRONOBERGS LÄN</t>
        </is>
      </c>
      <c r="G471" t="inlineStr">
        <is>
          <t>ALVESTA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46258</v>
      </c>
      <c r="F472" t="inlineStr">
        <is>
          <t>KRONOBERGS LÄN</t>
        </is>
      </c>
      <c r="G472" t="inlineStr">
        <is>
          <t>ALVESTA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45267</v>
      </c>
      <c r="E473" s="1" t="n">
        <v>46258</v>
      </c>
      <c r="F473" t="inlineStr">
        <is>
          <t>KRONOBERGS LÄN</t>
        </is>
      </c>
      <c r="G473" t="inlineStr">
        <is>
          <t>ALVESTA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46258</v>
      </c>
      <c r="F474" t="inlineStr">
        <is>
          <t>KRONOBERGS LÄN</t>
        </is>
      </c>
      <c r="G474" t="inlineStr">
        <is>
          <t>ALVESTA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46258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45308</v>
      </c>
      <c r="E476" s="1" t="n">
        <v>46258</v>
      </c>
      <c r="F476" t="inlineStr">
        <is>
          <t>KRONOBERGS LÄN</t>
        </is>
      </c>
      <c r="G476" t="inlineStr">
        <is>
          <t>ALVESTA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46258</v>
      </c>
      <c r="F477" t="inlineStr">
        <is>
          <t>KRONOBERGS LÄN</t>
        </is>
      </c>
      <c r="G477" t="inlineStr">
        <is>
          <t>ALVESTA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46258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46258</v>
      </c>
      <c r="F479" t="inlineStr">
        <is>
          <t>KRONOBERGS LÄN</t>
        </is>
      </c>
      <c r="G479" t="inlineStr">
        <is>
          <t>ALVESTA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46258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46258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46258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46241</v>
      </c>
      <c r="E483" s="1" t="n">
        <v>46258</v>
      </c>
      <c r="F483" t="inlineStr">
        <is>
          <t>KRONOBERGS LÄN</t>
        </is>
      </c>
      <c r="G483" t="inlineStr">
        <is>
          <t>ALVESTA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46241</v>
      </c>
      <c r="E484" s="1" t="n">
        <v>46258</v>
      </c>
      <c r="F484" t="inlineStr">
        <is>
          <t>KRONOBERGS LÄN</t>
        </is>
      </c>
      <c r="G484" t="inlineStr">
        <is>
          <t>ALVESTA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46258</v>
      </c>
      <c r="F485" t="inlineStr">
        <is>
          <t>KRONOBERGS LÄN</t>
        </is>
      </c>
      <c r="G485" t="inlineStr">
        <is>
          <t>ALVESTA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46258</v>
      </c>
      <c r="F486" t="inlineStr">
        <is>
          <t>KRONOBERGS LÄN</t>
        </is>
      </c>
      <c r="G486" t="inlineStr">
        <is>
          <t>ALVESTA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46258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17823-2026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46122</v>
      </c>
      <c r="E488" s="1" t="n">
        <v>46258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46258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17801-2026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46122</v>
      </c>
      <c r="E490" s="1" t="n">
        <v>46258</v>
      </c>
      <c r="F490" t="inlineStr">
        <is>
          <t>KRONOBERGS LÄN</t>
        </is>
      </c>
      <c r="G490" t="inlineStr">
        <is>
          <t>ALVESTA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34214-2024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45524</v>
      </c>
      <c r="E491" s="1" t="n">
        <v>46258</v>
      </c>
      <c r="F491" t="inlineStr">
        <is>
          <t>KRONOBERGS LÄN</t>
        </is>
      </c>
      <c r="G491" t="inlineStr">
        <is>
          <t>ALVESTA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46258</v>
      </c>
      <c r="F492" t="inlineStr">
        <is>
          <t>KRONOBERGS LÄN</t>
        </is>
      </c>
      <c r="G492" t="inlineStr">
        <is>
          <t>ALVESTA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46258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44880</v>
      </c>
      <c r="E494" s="1" t="n">
        <v>46258</v>
      </c>
      <c r="F494" t="inlineStr">
        <is>
          <t>KRONOBERGS LÄN</t>
        </is>
      </c>
      <c r="G494" t="inlineStr">
        <is>
          <t>ALVESTA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44907</v>
      </c>
      <c r="E495" s="1" t="n">
        <v>46258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45359</v>
      </c>
      <c r="E496" s="1" t="n">
        <v>46258</v>
      </c>
      <c r="F496" t="inlineStr">
        <is>
          <t>KRONOBERGS LÄN</t>
        </is>
      </c>
      <c r="G496" t="inlineStr">
        <is>
          <t>ALVESTA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46258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46258</v>
      </c>
      <c r="F498" t="inlineStr">
        <is>
          <t>KRONOBERGS LÄN</t>
        </is>
      </c>
      <c r="G498" t="inlineStr">
        <is>
          <t>ALVESTA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46258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46129</v>
      </c>
      <c r="E500" s="1" t="n">
        <v>46258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46258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46258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46258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46258</v>
      </c>
      <c r="F504" t="inlineStr">
        <is>
          <t>KRONOBERGS LÄN</t>
        </is>
      </c>
      <c r="G504" t="inlineStr">
        <is>
          <t>ALVESTA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46258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46258</v>
      </c>
      <c r="F506" t="inlineStr">
        <is>
          <t>KRONOBERGS LÄN</t>
        </is>
      </c>
      <c r="G506" t="inlineStr">
        <is>
          <t>ALVESTA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46258</v>
      </c>
      <c r="F507" t="inlineStr">
        <is>
          <t>KRONOBERGS LÄN</t>
        </is>
      </c>
      <c r="G507" t="inlineStr">
        <is>
          <t>ALVESTA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46258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44925</v>
      </c>
      <c r="E509" s="1" t="n">
        <v>46258</v>
      </c>
      <c r="F509" t="inlineStr">
        <is>
          <t>KRONOBERGS LÄN</t>
        </is>
      </c>
      <c r="G509" t="inlineStr">
        <is>
          <t>ALVESTA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46258</v>
      </c>
      <c r="F510" t="inlineStr">
        <is>
          <t>KRONOBERGS LÄN</t>
        </is>
      </c>
      <c r="G510" t="inlineStr">
        <is>
          <t>ALVESTA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45302</v>
      </c>
      <c r="E511" s="1" t="n">
        <v>46258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45544</v>
      </c>
      <c r="E512" s="1" t="n">
        <v>46258</v>
      </c>
      <c r="F512" t="inlineStr">
        <is>
          <t>KRONOBERGS LÄN</t>
        </is>
      </c>
      <c r="G512" t="inlineStr">
        <is>
          <t>ALVESTA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45032</v>
      </c>
      <c r="E513" s="1" t="n">
        <v>46258</v>
      </c>
      <c r="F513" t="inlineStr">
        <is>
          <t>KRONOBERGS LÄN</t>
        </is>
      </c>
      <c r="G513" t="inlineStr">
        <is>
          <t>ALVESTA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46258</v>
      </c>
      <c r="F514" t="inlineStr">
        <is>
          <t>KRONOBERGS LÄN</t>
        </is>
      </c>
      <c r="G514" t="inlineStr">
        <is>
          <t>ALVESTA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46258</v>
      </c>
      <c r="F515" t="inlineStr">
        <is>
          <t>KRONOBERGS LÄN</t>
        </is>
      </c>
      <c r="G515" t="inlineStr">
        <is>
          <t>ALVESTA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46258</v>
      </c>
      <c r="F516" t="inlineStr">
        <is>
          <t>KRONOBERGS LÄN</t>
        </is>
      </c>
      <c r="G516" t="inlineStr">
        <is>
          <t>ALVESTA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46258</v>
      </c>
      <c r="F517" t="inlineStr">
        <is>
          <t>KRONOBERGS LÄN</t>
        </is>
      </c>
      <c r="G517" t="inlineStr">
        <is>
          <t>ALVESTA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46258</v>
      </c>
      <c r="F518" t="inlineStr">
        <is>
          <t>KRONOBERGS LÄN</t>
        </is>
      </c>
      <c r="G518" t="inlineStr">
        <is>
          <t>ALVESTA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46258</v>
      </c>
      <c r="F519" t="inlineStr">
        <is>
          <t>KRONOBERGS LÄN</t>
        </is>
      </c>
      <c r="G519" t="inlineStr">
        <is>
          <t>ALVESTA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33290-2026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46246</v>
      </c>
      <c r="E520" s="1" t="n">
        <v>46258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45217</v>
      </c>
      <c r="E521" s="1" t="n">
        <v>46258</v>
      </c>
      <c r="F521" t="inlineStr">
        <is>
          <t>KRONOBERGS LÄN</t>
        </is>
      </c>
      <c r="G521" t="inlineStr">
        <is>
          <t>ALVESTA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46258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46258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46258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46258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45471</v>
      </c>
      <c r="E526" s="1" t="n">
        <v>46258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44951</v>
      </c>
      <c r="E527" s="1" t="n">
        <v>46258</v>
      </c>
      <c r="F527" t="inlineStr">
        <is>
          <t>KRONOBERGS LÄN</t>
        </is>
      </c>
      <c r="G527" t="inlineStr">
        <is>
          <t>ALVESTA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46258</v>
      </c>
      <c r="F528" t="inlineStr">
        <is>
          <t>KRONOBERGS LÄN</t>
        </is>
      </c>
      <c r="G528" t="inlineStr">
        <is>
          <t>ALVESTA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45385</v>
      </c>
      <c r="E529" s="1" t="n">
        <v>46258</v>
      </c>
      <c r="F529" t="inlineStr">
        <is>
          <t>KRONOBERGS LÄN</t>
        </is>
      </c>
      <c r="G529" t="inlineStr">
        <is>
          <t>ALVESTA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46258</v>
      </c>
      <c r="F530" t="inlineStr">
        <is>
          <t>KRONOBERGS LÄN</t>
        </is>
      </c>
      <c r="G530" t="inlineStr">
        <is>
          <t>ALVESTA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44747</v>
      </c>
      <c r="E531" s="1" t="n">
        <v>46258</v>
      </c>
      <c r="F531" t="inlineStr">
        <is>
          <t>KRONOBERGS LÄN</t>
        </is>
      </c>
      <c r="G531" t="inlineStr">
        <is>
          <t>ALVESTA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44978</v>
      </c>
      <c r="E532" s="1" t="n">
        <v>46258</v>
      </c>
      <c r="F532" t="inlineStr">
        <is>
          <t>KRONOBERGS LÄN</t>
        </is>
      </c>
      <c r="G532" t="inlineStr">
        <is>
          <t>ALVESTA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46258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46258</v>
      </c>
      <c r="F534" t="inlineStr">
        <is>
          <t>KRONOBERGS LÄN</t>
        </is>
      </c>
      <c r="G534" t="inlineStr">
        <is>
          <t>ALVESTA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45946</v>
      </c>
      <c r="E535" s="1" t="n">
        <v>46258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46258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46258</v>
      </c>
      <c r="F537" t="inlineStr">
        <is>
          <t>KRONOBERGS LÄN</t>
        </is>
      </c>
      <c r="G537" t="inlineStr">
        <is>
          <t>ALVESTA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45827</v>
      </c>
      <c r="E538" s="1" t="n">
        <v>46258</v>
      </c>
      <c r="F538" t="inlineStr">
        <is>
          <t>KRONOBERGS LÄN</t>
        </is>
      </c>
      <c r="G538" t="inlineStr">
        <is>
          <t>ALVESTA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46258</v>
      </c>
      <c r="F539" t="inlineStr">
        <is>
          <t>KRONOBERGS LÄN</t>
        </is>
      </c>
      <c r="G539" t="inlineStr">
        <is>
          <t>ALVESTA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46139</v>
      </c>
      <c r="E540" s="1" t="n">
        <v>46258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45136</v>
      </c>
      <c r="E541" s="1" t="n">
        <v>46258</v>
      </c>
      <c r="F541" t="inlineStr">
        <is>
          <t>KRONOBERGS LÄN</t>
        </is>
      </c>
      <c r="G541" t="inlineStr">
        <is>
          <t>ALVESTA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46258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46258</v>
      </c>
      <c r="F543" t="inlineStr">
        <is>
          <t>KRONOBERGS LÄN</t>
        </is>
      </c>
      <c r="G543" t="inlineStr">
        <is>
          <t>ALVESTA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46258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46258</v>
      </c>
      <c r="F545" t="inlineStr">
        <is>
          <t>KRONOBERGS LÄN</t>
        </is>
      </c>
      <c r="G545" t="inlineStr">
        <is>
          <t>ALVESTA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40566-2024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46258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45565</v>
      </c>
      <c r="E547" s="1" t="n">
        <v>46258</v>
      </c>
      <c r="F547" t="inlineStr">
        <is>
          <t>KRONOBERGS LÄN</t>
        </is>
      </c>
      <c r="G547" t="inlineStr">
        <is>
          <t>ALVESTA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45595</v>
      </c>
      <c r="E548" s="1" t="n">
        <v>46258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46258</v>
      </c>
      <c r="F549" t="inlineStr">
        <is>
          <t>KRONOBERGS LÄN</t>
        </is>
      </c>
      <c r="G549" t="inlineStr">
        <is>
          <t>ALVESTA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46258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46258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46258</v>
      </c>
      <c r="F552" t="inlineStr">
        <is>
          <t>KRONOBERGS LÄN</t>
        </is>
      </c>
      <c r="G552" t="inlineStr">
        <is>
          <t>ALVESTA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46258</v>
      </c>
      <c r="F553" t="inlineStr">
        <is>
          <t>KRONOBERGS LÄN</t>
        </is>
      </c>
      <c r="G553" t="inlineStr">
        <is>
          <t>ALVESTA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46258</v>
      </c>
      <c r="F554" t="inlineStr">
        <is>
          <t>KRONOBERGS LÄN</t>
        </is>
      </c>
      <c r="G554" t="inlineStr">
        <is>
          <t>ALVESTA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45858</v>
      </c>
      <c r="E555" s="1" t="n">
        <v>46258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46136</v>
      </c>
      <c r="E556" s="1" t="n">
        <v>46258</v>
      </c>
      <c r="F556" t="inlineStr">
        <is>
          <t>KRONOBERGS LÄN</t>
        </is>
      </c>
      <c r="G556" t="inlineStr">
        <is>
          <t>ALVESTA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45146</v>
      </c>
      <c r="E557" s="1" t="n">
        <v>46258</v>
      </c>
      <c r="F557" t="inlineStr">
        <is>
          <t>KRONOBERGS LÄN</t>
        </is>
      </c>
      <c r="G557" t="inlineStr">
        <is>
          <t>ALVESTA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46258</v>
      </c>
      <c r="F558" t="inlineStr">
        <is>
          <t>KRONOBERGS LÄN</t>
        </is>
      </c>
      <c r="G558" t="inlineStr">
        <is>
          <t>ALVESTA</t>
        </is>
      </c>
      <c r="H558" t="inlineStr">
        <is>
          <t>Övriga Aktiebolag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26225-2022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44735</v>
      </c>
      <c r="E559" s="1" t="n">
        <v>46258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46258</v>
      </c>
      <c r="F560" t="inlineStr">
        <is>
          <t>KRONOBERGS LÄN</t>
        </is>
      </c>
      <c r="G560" t="inlineStr">
        <is>
          <t>ALVESTA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52082-2024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46258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6815-2024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46258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57121-2022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44895</v>
      </c>
      <c r="E563" s="1" t="n">
        <v>46258</v>
      </c>
      <c r="F563" t="inlineStr">
        <is>
          <t>KRONOBERGS LÄN</t>
        </is>
      </c>
      <c r="G563" t="inlineStr">
        <is>
          <t>ALVESTA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33110-2025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45840</v>
      </c>
      <c r="E564" s="1" t="n">
        <v>46258</v>
      </c>
      <c r="F564" t="inlineStr">
        <is>
          <t>KRONOBERGS LÄN</t>
        </is>
      </c>
      <c r="G564" t="inlineStr">
        <is>
          <t>ALVESTA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33352-2024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45519</v>
      </c>
      <c r="E565" s="1" t="n">
        <v>46258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46258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45336</v>
      </c>
      <c r="E567" s="1" t="n">
        <v>46258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72318-2021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46258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46258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45153</v>
      </c>
      <c r="E570" s="1" t="n">
        <v>46258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45153</v>
      </c>
      <c r="E571" s="1" t="n">
        <v>46258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46258</v>
      </c>
      <c r="F572" t="inlineStr">
        <is>
          <t>KRONOBERGS LÄN</t>
        </is>
      </c>
      <c r="G572" t="inlineStr">
        <is>
          <t>ALVESTA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46258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46258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46258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46258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46258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46258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46258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46258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46258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46258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65094-2023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45288</v>
      </c>
      <c r="E583" s="1" t="n">
        <v>46258</v>
      </c>
      <c r="F583" t="inlineStr">
        <is>
          <t>KRONOBERGS LÄN</t>
        </is>
      </c>
      <c r="G583" t="inlineStr">
        <is>
          <t>ALVESTA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49556-2021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44455</v>
      </c>
      <c r="E584" s="1" t="n">
        <v>46258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46258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46258</v>
      </c>
      <c r="F586" t="inlineStr">
        <is>
          <t>KRONOBERGS LÄN</t>
        </is>
      </c>
      <c r="G586" t="inlineStr">
        <is>
          <t>ALVESTA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46258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46258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46258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45700</v>
      </c>
      <c r="E590" s="1" t="n">
        <v>46258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45896</v>
      </c>
      <c r="E591" s="1" t="n">
        <v>46258</v>
      </c>
      <c r="F591" t="inlineStr">
        <is>
          <t>KRONOBERGS LÄN</t>
        </is>
      </c>
      <c r="G591" t="inlineStr">
        <is>
          <t>ALVESTA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46258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45854</v>
      </c>
      <c r="E593" s="1" t="n">
        <v>46258</v>
      </c>
      <c r="F593" t="inlineStr">
        <is>
          <t>KRONOBERGS LÄN</t>
        </is>
      </c>
      <c r="G593" t="inlineStr">
        <is>
          <t>ALVESTA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42074-2025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45903</v>
      </c>
      <c r="E594" s="1" t="n">
        <v>46258</v>
      </c>
      <c r="F594" t="inlineStr">
        <is>
          <t>KRONOBERGS LÄN</t>
        </is>
      </c>
      <c r="G594" t="inlineStr">
        <is>
          <t>ALVESTA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53425-2025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45959</v>
      </c>
      <c r="E595" s="1" t="n">
        <v>46258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46258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46258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46258</v>
      </c>
      <c r="F598" t="inlineStr">
        <is>
          <t>KRONOBERGS LÄN</t>
        </is>
      </c>
      <c r="G598" t="inlineStr">
        <is>
          <t>ALVESTA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45440</v>
      </c>
      <c r="E599" s="1" t="n">
        <v>46258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45456</v>
      </c>
      <c r="E600" s="1" t="n">
        <v>46258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45363</v>
      </c>
      <c r="E601" s="1" t="n">
        <v>46258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46258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45790</v>
      </c>
      <c r="E603" s="1" t="n">
        <v>46258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46258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37940-2024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46258</v>
      </c>
      <c r="F605" t="inlineStr">
        <is>
          <t>KRONOBERGS LÄN</t>
        </is>
      </c>
      <c r="G605" t="inlineStr">
        <is>
          <t>ALVESTA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45391</v>
      </c>
      <c r="E606" s="1" t="n">
        <v>46258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45418</v>
      </c>
      <c r="E607" s="1" t="n">
        <v>46258</v>
      </c>
      <c r="F607" t="inlineStr">
        <is>
          <t>KRONOBERGS LÄN</t>
        </is>
      </c>
      <c r="G607" t="inlineStr">
        <is>
          <t>ALVESTA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33222-2024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45518</v>
      </c>
      <c r="E608" s="1" t="n">
        <v>46258</v>
      </c>
      <c r="F608" t="inlineStr">
        <is>
          <t>KRONOBERGS LÄN</t>
        </is>
      </c>
      <c r="G608" t="inlineStr">
        <is>
          <t>ALVESTA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46258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46258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46258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2119-2022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46258</v>
      </c>
      <c r="F612" t="inlineStr">
        <is>
          <t>KRONOBERGS LÄN</t>
        </is>
      </c>
      <c r="G612" t="inlineStr">
        <is>
          <t>ALVESTA</t>
        </is>
      </c>
      <c r="I612" t="n">
        <v>24.5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2120-2022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46258</v>
      </c>
      <c r="F613" t="inlineStr">
        <is>
          <t>KRONOBERGS LÄN</t>
        </is>
      </c>
      <c r="G613" t="inlineStr">
        <is>
          <t>ALVESTA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46258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46258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46258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46258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46258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46258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46258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1569-2022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44643</v>
      </c>
      <c r="E621" s="1" t="n">
        <v>46258</v>
      </c>
      <c r="F621" t="inlineStr">
        <is>
          <t>KRONOBERGS LÄN</t>
        </is>
      </c>
      <c r="G621" t="inlineStr">
        <is>
          <t>ALVESTA</t>
        </is>
      </c>
      <c r="I621" t="n">
        <v>21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46258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46258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46258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46258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46258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46258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46258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46258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46258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46258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46258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46258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46258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46258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46258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46258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46258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2026-08-24T01:49:50Z</dcterms:created>
  <dcterms:modified xmlns:dcterms="http://purl.org/dc/terms/" xmlns:xsi="http://www.w3.org/2001/XMLSchema-instance" xsi:type="dcterms:W3CDTF">2026-08-24T01:49:50Z</dcterms:modified>
</cp:coreProperties>
</file>