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45757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45757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45757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45757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45757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45757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45757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45757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45757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45757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45757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45757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45757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45757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45757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45757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45757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45757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45757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45757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45757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45757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45757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45757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45757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45757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45757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45757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45757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45757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45757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45757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45757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45757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45757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38890-2024</t>
        </is>
      </c>
      <c r="B37" s="1" t="n">
        <v>45547</v>
      </c>
      <c r="C37" s="1" t="n">
        <v>45757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38890-2024 artfynd.xlsx", "A 38890-2024")</f>
        <v/>
      </c>
      <c r="T37">
        <f>HYPERLINK("https://klasma.github.io/Logging_0764/kartor/A 38890-2024 karta.png", "A 38890-2024")</f>
        <v/>
      </c>
      <c r="V37">
        <f>HYPERLINK("https://klasma.github.io/Logging_0764/klagomål/A 38890-2024 FSC-klagomål.docx", "A 38890-2024")</f>
        <v/>
      </c>
      <c r="W37">
        <f>HYPERLINK("https://klasma.github.io/Logging_0764/klagomålsmail/A 38890-2024 FSC-klagomål mail.docx", "A 38890-2024")</f>
        <v/>
      </c>
      <c r="X37">
        <f>HYPERLINK("https://klasma.github.io/Logging_0764/tillsyn/A 38890-2024 tillsynsbegäran.docx", "A 38890-2024")</f>
        <v/>
      </c>
      <c r="Y37">
        <f>HYPERLINK("https://klasma.github.io/Logging_0764/tillsynsmail/A 38890-2024 tillsynsbegäran mail.docx", "A 38890-2024")</f>
        <v/>
      </c>
    </row>
    <row r="38" ht="15" customHeight="1">
      <c r="A38" t="inlineStr">
        <is>
          <t>A 44406-2024</t>
        </is>
      </c>
      <c r="B38" s="1" t="n">
        <v>45573</v>
      </c>
      <c r="C38" s="1" t="n">
        <v>45757</v>
      </c>
      <c r="D38" t="inlineStr">
        <is>
          <t>KRONOBERGS LÄN</t>
        </is>
      </c>
      <c r="E38" t="inlineStr">
        <is>
          <t>ALVESTA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HYPERLINK("https://klasma.github.io/Logging_0764/artfynd/A 44406-2024 artfynd.xlsx", "A 44406-2024")</f>
        <v/>
      </c>
      <c r="T38">
        <f>HYPERLINK("https://klasma.github.io/Logging_0764/kartor/A 44406-2024 karta.png", "A 44406-2024")</f>
        <v/>
      </c>
      <c r="V38">
        <f>HYPERLINK("https://klasma.github.io/Logging_0764/klagomål/A 44406-2024 FSC-klagomål.docx", "A 44406-2024")</f>
        <v/>
      </c>
      <c r="W38">
        <f>HYPERLINK("https://klasma.github.io/Logging_0764/klagomålsmail/A 44406-2024 FSC-klagomål mail.docx", "A 44406-2024")</f>
        <v/>
      </c>
      <c r="X38">
        <f>HYPERLINK("https://klasma.github.io/Logging_0764/tillsyn/A 44406-2024 tillsynsbegäran.docx", "A 44406-2024")</f>
        <v/>
      </c>
      <c r="Y38">
        <f>HYPERLINK("https://klasma.github.io/Logging_0764/tillsynsmail/A 44406-2024 tillsynsbegäran mail.docx", "A 44406-2024")</f>
        <v/>
      </c>
    </row>
    <row r="39" ht="15" customHeight="1">
      <c r="A39" t="inlineStr">
        <is>
          <t>A 46344-2024</t>
        </is>
      </c>
      <c r="B39" s="1" t="n">
        <v>45582</v>
      </c>
      <c r="C39" s="1" t="n">
        <v>45757</v>
      </c>
      <c r="D39" t="inlineStr">
        <is>
          <t>KRONOBERGS LÄN</t>
        </is>
      </c>
      <c r="E39" t="inlineStr">
        <is>
          <t>ALVESTA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46344-2024 artfynd.xlsx", "A 46344-2024")</f>
        <v/>
      </c>
      <c r="T39">
        <f>HYPERLINK("https://klasma.github.io/Logging_0764/kartor/A 46344-2024 karta.png", "A 46344-2024")</f>
        <v/>
      </c>
      <c r="V39">
        <f>HYPERLINK("https://klasma.github.io/Logging_0764/klagomål/A 46344-2024 FSC-klagomål.docx", "A 46344-2024")</f>
        <v/>
      </c>
      <c r="W39">
        <f>HYPERLINK("https://klasma.github.io/Logging_0764/klagomålsmail/A 46344-2024 FSC-klagomål mail.docx", "A 46344-2024")</f>
        <v/>
      </c>
      <c r="X39">
        <f>HYPERLINK("https://klasma.github.io/Logging_0764/tillsyn/A 46344-2024 tillsynsbegäran.docx", "A 46344-2024")</f>
        <v/>
      </c>
      <c r="Y39">
        <f>HYPERLINK("https://klasma.github.io/Logging_0764/tillsynsmail/A 46344-2024 tillsynsbegäran mail.docx", "A 46344-2024")</f>
        <v/>
      </c>
    </row>
    <row r="40" ht="15" customHeight="1">
      <c r="A40" t="inlineStr">
        <is>
          <t>A 59362-2024</t>
        </is>
      </c>
      <c r="B40" s="1" t="n">
        <v>45638</v>
      </c>
      <c r="C40" s="1" t="n">
        <v>45757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59362-2024 artfynd.xlsx", "A 59362-2024")</f>
        <v/>
      </c>
      <c r="T40">
        <f>HYPERLINK("https://klasma.github.io/Logging_0764/kartor/A 59362-2024 karta.png", "A 59362-2024")</f>
        <v/>
      </c>
      <c r="V40">
        <f>HYPERLINK("https://klasma.github.io/Logging_0764/klagomål/A 59362-2024 FSC-klagomål.docx", "A 59362-2024")</f>
        <v/>
      </c>
      <c r="W40">
        <f>HYPERLINK("https://klasma.github.io/Logging_0764/klagomålsmail/A 59362-2024 FSC-klagomål mail.docx", "A 59362-2024")</f>
        <v/>
      </c>
      <c r="X40">
        <f>HYPERLINK("https://klasma.github.io/Logging_0764/tillsyn/A 59362-2024 tillsynsbegäran.docx", "A 59362-2024")</f>
        <v/>
      </c>
      <c r="Y40">
        <f>HYPERLINK("https://klasma.github.io/Logging_0764/tillsynsmail/A 59362-2024 tillsynsbegäran mail.docx", "A 59362-2024")</f>
        <v/>
      </c>
    </row>
    <row r="41" ht="15" customHeight="1">
      <c r="A41" t="inlineStr">
        <is>
          <t>A 430-2025</t>
        </is>
      </c>
      <c r="B41" s="1" t="n">
        <v>45664</v>
      </c>
      <c r="C41" s="1" t="n">
        <v>45757</v>
      </c>
      <c r="D41" t="inlineStr">
        <is>
          <t>KRONOBERGS LÄN</t>
        </is>
      </c>
      <c r="E41" t="inlineStr">
        <is>
          <t>ALVESTA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HYPERLINK("https://klasma.github.io/Logging_0764/artfynd/A 430-2025 artfynd.xlsx", "A 430-2025")</f>
        <v/>
      </c>
      <c r="T41">
        <f>HYPERLINK("https://klasma.github.io/Logging_0764/kartor/A 430-2025 karta.png", "A 430-2025")</f>
        <v/>
      </c>
      <c r="V41">
        <f>HYPERLINK("https://klasma.github.io/Logging_0764/klagomål/A 430-2025 FSC-klagomål.docx", "A 430-2025")</f>
        <v/>
      </c>
      <c r="W41">
        <f>HYPERLINK("https://klasma.github.io/Logging_0764/klagomålsmail/A 430-2025 FSC-klagomål mail.docx", "A 430-2025")</f>
        <v/>
      </c>
      <c r="X41">
        <f>HYPERLINK("https://klasma.github.io/Logging_0764/tillsyn/A 430-2025 tillsynsbegäran.docx", "A 430-2025")</f>
        <v/>
      </c>
      <c r="Y41">
        <f>HYPERLINK("https://klasma.github.io/Logging_0764/tillsynsmail/A 430-2025 tillsynsbegäran mail.docx", "A 430-2025")</f>
        <v/>
      </c>
      <c r="Z41">
        <f>HYPERLINK("https://klasma.github.io/Logging_0764/fåglar/A 430-2025 prioriterade fågelarter.docx", "A 430-2025")</f>
        <v/>
      </c>
    </row>
    <row r="42" ht="15" customHeight="1">
      <c r="A42" t="inlineStr">
        <is>
          <t>A 18637-2019</t>
        </is>
      </c>
      <c r="B42" s="1" t="n">
        <v>43560</v>
      </c>
      <c r="C42" s="1" t="n">
        <v>45757</v>
      </c>
      <c r="D42" t="inlineStr">
        <is>
          <t>KRONOBERGS LÄN</t>
        </is>
      </c>
      <c r="E42" t="inlineStr">
        <is>
          <t>ALVESTA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18726-2019</t>
        </is>
      </c>
      <c r="B43" s="1" t="n">
        <v>43560</v>
      </c>
      <c r="C43" s="1" t="n">
        <v>45757</v>
      </c>
      <c r="D43" t="inlineStr">
        <is>
          <t>KRONOBERGS LÄN</t>
        </is>
      </c>
      <c r="E43" t="inlineStr">
        <is>
          <t>ALVESTA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18594-2019</t>
        </is>
      </c>
      <c r="B44" s="1" t="n">
        <v>43560</v>
      </c>
      <c r="C44" s="1" t="n">
        <v>45757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18983-2019</t>
        </is>
      </c>
      <c r="B45" s="1" t="n">
        <v>43563</v>
      </c>
      <c r="C45" s="1" t="n">
        <v>45757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19816-2019</t>
        </is>
      </c>
      <c r="B46" s="1" t="n">
        <v>43567</v>
      </c>
      <c r="C46" s="1" t="n">
        <v>45757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20526-2019</t>
        </is>
      </c>
      <c r="B47" s="1" t="n">
        <v>43572</v>
      </c>
      <c r="C47" s="1" t="n">
        <v>45757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21488-2019</t>
        </is>
      </c>
      <c r="B48" s="1" t="n">
        <v>43580</v>
      </c>
      <c r="C48" s="1" t="n">
        <v>45757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22419-2019</t>
        </is>
      </c>
      <c r="B49" s="1" t="n">
        <v>43587</v>
      </c>
      <c r="C49" s="1" t="n">
        <v>45757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23355-2019</t>
        </is>
      </c>
      <c r="B50" s="1" t="n">
        <v>43593</v>
      </c>
      <c r="C50" s="1" t="n">
        <v>45757</v>
      </c>
      <c r="D50" t="inlineStr">
        <is>
          <t>KRONOBERGS LÄN</t>
        </is>
      </c>
      <c r="E50" t="inlineStr">
        <is>
          <t>ALVESTA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24701-2019</t>
        </is>
      </c>
      <c r="B51" s="1" t="n">
        <v>43601</v>
      </c>
      <c r="C51" s="1" t="n">
        <v>45757</v>
      </c>
      <c r="D51" t="inlineStr">
        <is>
          <t>KRONOBERGS LÄN</t>
        </is>
      </c>
      <c r="E51" t="inlineStr">
        <is>
          <t>ALVESTA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25261-2019</t>
        </is>
      </c>
      <c r="B52" s="1" t="n">
        <v>43605</v>
      </c>
      <c r="C52" s="1" t="n">
        <v>45757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25905-2019</t>
        </is>
      </c>
      <c r="B53" s="1" t="n">
        <v>43605</v>
      </c>
      <c r="C53" s="1" t="n">
        <v>45757</v>
      </c>
      <c r="D53" t="inlineStr">
        <is>
          <t>KRONOBERGS LÄN</t>
        </is>
      </c>
      <c r="E53" t="inlineStr">
        <is>
          <t>ALVESTA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25376-2019</t>
        </is>
      </c>
      <c r="B54" s="1" t="n">
        <v>43606</v>
      </c>
      <c r="C54" s="1" t="n">
        <v>45757</v>
      </c>
      <c r="D54" t="inlineStr">
        <is>
          <t>KRONOBERGS LÄN</t>
        </is>
      </c>
      <c r="E54" t="inlineStr">
        <is>
          <t>ALVESTA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26439-2019</t>
        </is>
      </c>
      <c r="B55" s="1" t="n">
        <v>43607</v>
      </c>
      <c r="C55" s="1" t="n">
        <v>45757</v>
      </c>
      <c r="D55" t="inlineStr">
        <is>
          <t>KRONOBERGS LÄN</t>
        </is>
      </c>
      <c r="E55" t="inlineStr">
        <is>
          <t>ALVESTA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25734-2019</t>
        </is>
      </c>
      <c r="B56" s="1" t="n">
        <v>43608</v>
      </c>
      <c r="C56" s="1" t="n">
        <v>45757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25732-2019</t>
        </is>
      </c>
      <c r="B57" s="1" t="n">
        <v>43608</v>
      </c>
      <c r="C57" s="1" t="n">
        <v>45757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25731-2019</t>
        </is>
      </c>
      <c r="B58" s="1" t="n">
        <v>43608</v>
      </c>
      <c r="C58" s="1" t="n">
        <v>45757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26160-2019</t>
        </is>
      </c>
      <c r="B59" s="1" t="n">
        <v>43609</v>
      </c>
      <c r="C59" s="1" t="n">
        <v>45757</v>
      </c>
      <c r="D59" t="inlineStr">
        <is>
          <t>KRONOBERGS LÄN</t>
        </is>
      </c>
      <c r="E59" t="inlineStr">
        <is>
          <t>ALVESTA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26159-2019</t>
        </is>
      </c>
      <c r="B60" s="1" t="n">
        <v>43609</v>
      </c>
      <c r="C60" s="1" t="n">
        <v>45757</v>
      </c>
      <c r="D60" t="inlineStr">
        <is>
          <t>KRONOBERGS LÄN</t>
        </is>
      </c>
      <c r="E60" t="inlineStr">
        <is>
          <t>ALVESTA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26630-2019</t>
        </is>
      </c>
      <c r="B61" s="1" t="n">
        <v>43612</v>
      </c>
      <c r="C61" s="1" t="n">
        <v>45757</v>
      </c>
      <c r="D61" t="inlineStr">
        <is>
          <t>KRONOBERGS LÄN</t>
        </is>
      </c>
      <c r="E61" t="inlineStr">
        <is>
          <t>ALVESTA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27695-2019</t>
        </is>
      </c>
      <c r="B62" s="1" t="n">
        <v>43612</v>
      </c>
      <c r="C62" s="1" t="n">
        <v>45757</v>
      </c>
      <c r="D62" t="inlineStr">
        <is>
          <t>KRONOBERGS LÄN</t>
        </is>
      </c>
      <c r="E62" t="inlineStr">
        <is>
          <t>ALVESTA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27353-2019</t>
        </is>
      </c>
      <c r="B63" s="1" t="n">
        <v>43616</v>
      </c>
      <c r="C63" s="1" t="n">
        <v>45757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28145-2019</t>
        </is>
      </c>
      <c r="B64" s="1" t="n">
        <v>43621</v>
      </c>
      <c r="C64" s="1" t="n">
        <v>45757</v>
      </c>
      <c r="D64" t="inlineStr">
        <is>
          <t>KRONOBERGS LÄN</t>
        </is>
      </c>
      <c r="E64" t="inlineStr">
        <is>
          <t>ALVESTA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28547-2019</t>
        </is>
      </c>
      <c r="B65" s="1" t="n">
        <v>43626</v>
      </c>
      <c r="C65" s="1" t="n">
        <v>45757</v>
      </c>
      <c r="D65" t="inlineStr">
        <is>
          <t>KRONOBERGS LÄN</t>
        </is>
      </c>
      <c r="E65" t="inlineStr">
        <is>
          <t>ALVESTA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28458-2019</t>
        </is>
      </c>
      <c r="B66" s="1" t="n">
        <v>43626</v>
      </c>
      <c r="C66" s="1" t="n">
        <v>45757</v>
      </c>
      <c r="D66" t="inlineStr">
        <is>
          <t>KRONOBERGS LÄN</t>
        </is>
      </c>
      <c r="E66" t="inlineStr">
        <is>
          <t>ALVESTA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28686-2019</t>
        </is>
      </c>
      <c r="B67" s="1" t="n">
        <v>43627</v>
      </c>
      <c r="C67" s="1" t="n">
        <v>45757</v>
      </c>
      <c r="D67" t="inlineStr">
        <is>
          <t>KRONOBERGS LÄN</t>
        </is>
      </c>
      <c r="E67" t="inlineStr">
        <is>
          <t>ALVESTA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28985-2019</t>
        </is>
      </c>
      <c r="B68" s="1" t="n">
        <v>43628</v>
      </c>
      <c r="C68" s="1" t="n">
        <v>45757</v>
      </c>
      <c r="D68" t="inlineStr">
        <is>
          <t>KRONOBERGS LÄN</t>
        </is>
      </c>
      <c r="E68" t="inlineStr">
        <is>
          <t>ALVESTA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29622-2019</t>
        </is>
      </c>
      <c r="B69" s="1" t="n">
        <v>43630</v>
      </c>
      <c r="C69" s="1" t="n">
        <v>45757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30006-2019</t>
        </is>
      </c>
      <c r="B70" s="1" t="n">
        <v>43633</v>
      </c>
      <c r="C70" s="1" t="n">
        <v>45757</v>
      </c>
      <c r="D70" t="inlineStr">
        <is>
          <t>KRONOBERGS LÄN</t>
        </is>
      </c>
      <c r="E70" t="inlineStr">
        <is>
          <t>ALVESTA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30241-2019</t>
        </is>
      </c>
      <c r="B71" s="1" t="n">
        <v>43634</v>
      </c>
      <c r="C71" s="1" t="n">
        <v>45757</v>
      </c>
      <c r="D71" t="inlineStr">
        <is>
          <t>KRONOBERGS LÄN</t>
        </is>
      </c>
      <c r="E71" t="inlineStr">
        <is>
          <t>ALVESTA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30291-2019</t>
        </is>
      </c>
      <c r="B72" s="1" t="n">
        <v>43634</v>
      </c>
      <c r="C72" s="1" t="n">
        <v>45757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30663-2019</t>
        </is>
      </c>
      <c r="B73" s="1" t="n">
        <v>43636</v>
      </c>
      <c r="C73" s="1" t="n">
        <v>45757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30659-2019</t>
        </is>
      </c>
      <c r="B74" s="1" t="n">
        <v>43636</v>
      </c>
      <c r="C74" s="1" t="n">
        <v>45757</v>
      </c>
      <c r="D74" t="inlineStr">
        <is>
          <t>KRONOBERGS LÄN</t>
        </is>
      </c>
      <c r="E74" t="inlineStr">
        <is>
          <t>ALVESTA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30668-2019</t>
        </is>
      </c>
      <c r="B75" s="1" t="n">
        <v>43636</v>
      </c>
      <c r="C75" s="1" t="n">
        <v>45757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30672-2019</t>
        </is>
      </c>
      <c r="B76" s="1" t="n">
        <v>43636</v>
      </c>
      <c r="C76" s="1" t="n">
        <v>45757</v>
      </c>
      <c r="D76" t="inlineStr">
        <is>
          <t>KRONOBERGS LÄN</t>
        </is>
      </c>
      <c r="E76" t="inlineStr">
        <is>
          <t>ALVESTA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31013-2019</t>
        </is>
      </c>
      <c r="B77" s="1" t="n">
        <v>43640</v>
      </c>
      <c r="C77" s="1" t="n">
        <v>45757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31182-2019</t>
        </is>
      </c>
      <c r="B78" s="1" t="n">
        <v>43640</v>
      </c>
      <c r="C78" s="1" t="n">
        <v>45757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32246-2019</t>
        </is>
      </c>
      <c r="B79" s="1" t="n">
        <v>43644</v>
      </c>
      <c r="C79" s="1" t="n">
        <v>45757</v>
      </c>
      <c r="D79" t="inlineStr">
        <is>
          <t>KRONOBERGS LÄN</t>
        </is>
      </c>
      <c r="E79" t="inlineStr">
        <is>
          <t>ALVESTA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32240-2019</t>
        </is>
      </c>
      <c r="B80" s="1" t="n">
        <v>43644</v>
      </c>
      <c r="C80" s="1" t="n">
        <v>45757</v>
      </c>
      <c r="D80" t="inlineStr">
        <is>
          <t>KRONOBERGS LÄN</t>
        </is>
      </c>
      <c r="E80" t="inlineStr">
        <is>
          <t>ALVESTA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35352-2019</t>
        </is>
      </c>
      <c r="B81" s="1" t="n">
        <v>43651</v>
      </c>
      <c r="C81" s="1" t="n">
        <v>45757</v>
      </c>
      <c r="D81" t="inlineStr">
        <is>
          <t>KRONOBERGS LÄN</t>
        </is>
      </c>
      <c r="E81" t="inlineStr">
        <is>
          <t>ALVESTA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33894-2019</t>
        </is>
      </c>
      <c r="B82" s="1" t="n">
        <v>43653</v>
      </c>
      <c r="C82" s="1" t="n">
        <v>45757</v>
      </c>
      <c r="D82" t="inlineStr">
        <is>
          <t>KRONOBERGS LÄN</t>
        </is>
      </c>
      <c r="E82" t="inlineStr">
        <is>
          <t>ALVESTA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34077-2019</t>
        </is>
      </c>
      <c r="B83" s="1" t="n">
        <v>43654</v>
      </c>
      <c r="C83" s="1" t="n">
        <v>45757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34206-2019</t>
        </is>
      </c>
      <c r="B84" s="1" t="n">
        <v>43655</v>
      </c>
      <c r="C84" s="1" t="n">
        <v>45757</v>
      </c>
      <c r="D84" t="inlineStr">
        <is>
          <t>KRONOBERGS LÄN</t>
        </is>
      </c>
      <c r="E84" t="inlineStr">
        <is>
          <t>ALVESTA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35626-2019</t>
        </is>
      </c>
      <c r="B85" s="1" t="n">
        <v>43655</v>
      </c>
      <c r="C85" s="1" t="n">
        <v>45757</v>
      </c>
      <c r="D85" t="inlineStr">
        <is>
          <t>KRONOBERGS LÄN</t>
        </is>
      </c>
      <c r="E85" t="inlineStr">
        <is>
          <t>ALVESTA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35159-2019</t>
        </is>
      </c>
      <c r="B86" s="1" t="n">
        <v>43661</v>
      </c>
      <c r="C86" s="1" t="n">
        <v>45757</v>
      </c>
      <c r="D86" t="inlineStr">
        <is>
          <t>KRONOBERGS LÄN</t>
        </is>
      </c>
      <c r="E86" t="inlineStr">
        <is>
          <t>ALVESTA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35599-2019</t>
        </is>
      </c>
      <c r="B87" s="1" t="n">
        <v>43664</v>
      </c>
      <c r="C87" s="1" t="n">
        <v>45757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35604-2019</t>
        </is>
      </c>
      <c r="B88" s="1" t="n">
        <v>43664</v>
      </c>
      <c r="C88" s="1" t="n">
        <v>45757</v>
      </c>
      <c r="D88" t="inlineStr">
        <is>
          <t>KRONOBERGS LÄN</t>
        </is>
      </c>
      <c r="E88" t="inlineStr">
        <is>
          <t>ALVESTA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35605-2019</t>
        </is>
      </c>
      <c r="B89" s="1" t="n">
        <v>43664</v>
      </c>
      <c r="C89" s="1" t="n">
        <v>45757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35978-2019</t>
        </is>
      </c>
      <c r="B90" s="1" t="n">
        <v>43667</v>
      </c>
      <c r="C90" s="1" t="n">
        <v>45757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35981-2019</t>
        </is>
      </c>
      <c r="B91" s="1" t="n">
        <v>43667</v>
      </c>
      <c r="C91" s="1" t="n">
        <v>45757</v>
      </c>
      <c r="D91" t="inlineStr">
        <is>
          <t>KRONOBERGS LÄN</t>
        </is>
      </c>
      <c r="E91" t="inlineStr">
        <is>
          <t>ALVESTA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35979-2019</t>
        </is>
      </c>
      <c r="B92" s="1" t="n">
        <v>43667</v>
      </c>
      <c r="C92" s="1" t="n">
        <v>45757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36068-2019</t>
        </is>
      </c>
      <c r="B93" s="1" t="n">
        <v>43668</v>
      </c>
      <c r="C93" s="1" t="n">
        <v>45757</v>
      </c>
      <c r="D93" t="inlineStr">
        <is>
          <t>KRONOBERGS LÄN</t>
        </is>
      </c>
      <c r="E93" t="inlineStr">
        <is>
          <t>ALVESTA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36078-2019</t>
        </is>
      </c>
      <c r="B94" s="1" t="n">
        <v>43668</v>
      </c>
      <c r="C94" s="1" t="n">
        <v>45757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36204-2019</t>
        </is>
      </c>
      <c r="B95" s="1" t="n">
        <v>43669</v>
      </c>
      <c r="C95" s="1" t="n">
        <v>45757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36773-2019</t>
        </is>
      </c>
      <c r="B96" s="1" t="n">
        <v>43672</v>
      </c>
      <c r="C96" s="1" t="n">
        <v>45757</v>
      </c>
      <c r="D96" t="inlineStr">
        <is>
          <t>KRONOBERGS LÄN</t>
        </is>
      </c>
      <c r="E96" t="inlineStr">
        <is>
          <t>ALVESTA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36872-2019</t>
        </is>
      </c>
      <c r="B97" s="1" t="n">
        <v>43675</v>
      </c>
      <c r="C97" s="1" t="n">
        <v>45757</v>
      </c>
      <c r="D97" t="inlineStr">
        <is>
          <t>KRONOBERGS LÄN</t>
        </is>
      </c>
      <c r="E97" t="inlineStr">
        <is>
          <t>ALVESTA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36905-2019</t>
        </is>
      </c>
      <c r="B98" s="1" t="n">
        <v>43675</v>
      </c>
      <c r="C98" s="1" t="n">
        <v>45757</v>
      </c>
      <c r="D98" t="inlineStr">
        <is>
          <t>KRONOBERGS LÄN</t>
        </is>
      </c>
      <c r="E98" t="inlineStr">
        <is>
          <t>ALVESTA</t>
        </is>
      </c>
      <c r="F98" t="inlineStr">
        <is>
          <t>Kyrkan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38012-2019</t>
        </is>
      </c>
      <c r="B99" s="1" t="n">
        <v>43683</v>
      </c>
      <c r="C99" s="1" t="n">
        <v>45757</v>
      </c>
      <c r="D99" t="inlineStr">
        <is>
          <t>KRONOBERGS LÄN</t>
        </is>
      </c>
      <c r="E99" t="inlineStr">
        <is>
          <t>ALVESTA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38162-2019</t>
        </is>
      </c>
      <c r="B100" s="1" t="n">
        <v>43684</v>
      </c>
      <c r="C100" s="1" t="n">
        <v>45757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39217-2019</t>
        </is>
      </c>
      <c r="B101" s="1" t="n">
        <v>43690</v>
      </c>
      <c r="C101" s="1" t="n">
        <v>45757</v>
      </c>
      <c r="D101" t="inlineStr">
        <is>
          <t>KRONOBERGS LÄN</t>
        </is>
      </c>
      <c r="E101" t="inlineStr">
        <is>
          <t>ALVESTA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39214-2019</t>
        </is>
      </c>
      <c r="B102" s="1" t="n">
        <v>43690</v>
      </c>
      <c r="C102" s="1" t="n">
        <v>45757</v>
      </c>
      <c r="D102" t="inlineStr">
        <is>
          <t>KRONOBERGS LÄN</t>
        </is>
      </c>
      <c r="E102" t="inlineStr">
        <is>
          <t>ALVESTA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40063-2019</t>
        </is>
      </c>
      <c r="B103" s="1" t="n">
        <v>43690</v>
      </c>
      <c r="C103" s="1" t="n">
        <v>45757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40007-2019</t>
        </is>
      </c>
      <c r="B104" s="1" t="n">
        <v>43690</v>
      </c>
      <c r="C104" s="1" t="n">
        <v>45757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41400-2019</t>
        </is>
      </c>
      <c r="B105" s="1" t="n">
        <v>43698</v>
      </c>
      <c r="C105" s="1" t="n">
        <v>45757</v>
      </c>
      <c r="D105" t="inlineStr">
        <is>
          <t>KRONOBERGS LÄN</t>
        </is>
      </c>
      <c r="E105" t="inlineStr">
        <is>
          <t>ALVESTA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41372-2019</t>
        </is>
      </c>
      <c r="B106" s="1" t="n">
        <v>43698</v>
      </c>
      <c r="C106" s="1" t="n">
        <v>45757</v>
      </c>
      <c r="D106" t="inlineStr">
        <is>
          <t>KRONOBERGS LÄN</t>
        </is>
      </c>
      <c r="E106" t="inlineStr">
        <is>
          <t>ALVESTA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41386-2019</t>
        </is>
      </c>
      <c r="B107" s="1" t="n">
        <v>43698</v>
      </c>
      <c r="C107" s="1" t="n">
        <v>45757</v>
      </c>
      <c r="D107" t="inlineStr">
        <is>
          <t>KRONOBERGS LÄN</t>
        </is>
      </c>
      <c r="E107" t="inlineStr">
        <is>
          <t>ALVESTA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42658-2019</t>
        </is>
      </c>
      <c r="B108" s="1" t="n">
        <v>43704</v>
      </c>
      <c r="C108" s="1" t="n">
        <v>45757</v>
      </c>
      <c r="D108" t="inlineStr">
        <is>
          <t>KRONOBERGS LÄN</t>
        </is>
      </c>
      <c r="E108" t="inlineStr">
        <is>
          <t>ALVESTA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43288-2019</t>
        </is>
      </c>
      <c r="B109" s="1" t="n">
        <v>43706</v>
      </c>
      <c r="C109" s="1" t="n">
        <v>45757</v>
      </c>
      <c r="D109" t="inlineStr">
        <is>
          <t>KRONOBERGS LÄN</t>
        </is>
      </c>
      <c r="E109" t="inlineStr">
        <is>
          <t>ALVESTA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43274-2019</t>
        </is>
      </c>
      <c r="B110" s="1" t="n">
        <v>43706</v>
      </c>
      <c r="C110" s="1" t="n">
        <v>45757</v>
      </c>
      <c r="D110" t="inlineStr">
        <is>
          <t>KRONOBERGS LÄN</t>
        </is>
      </c>
      <c r="E110" t="inlineStr">
        <is>
          <t>ALVESTA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43751-2019</t>
        </is>
      </c>
      <c r="B111" s="1" t="n">
        <v>43707</v>
      </c>
      <c r="C111" s="1" t="n">
        <v>45757</v>
      </c>
      <c r="D111" t="inlineStr">
        <is>
          <t>KRONOBERGS LÄN</t>
        </is>
      </c>
      <c r="E111" t="inlineStr">
        <is>
          <t>ALVESTA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44525-2019</t>
        </is>
      </c>
      <c r="B112" s="1" t="n">
        <v>43711</v>
      </c>
      <c r="C112" s="1" t="n">
        <v>45757</v>
      </c>
      <c r="D112" t="inlineStr">
        <is>
          <t>KRONOBERGS LÄN</t>
        </is>
      </c>
      <c r="E112" t="inlineStr">
        <is>
          <t>ALVESTA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44387-2019</t>
        </is>
      </c>
      <c r="B113" s="1" t="n">
        <v>43711</v>
      </c>
      <c r="C113" s="1" t="n">
        <v>45757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44806-2019</t>
        </is>
      </c>
      <c r="B114" s="1" t="n">
        <v>43712</v>
      </c>
      <c r="C114" s="1" t="n">
        <v>45757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45514-2019</t>
        </is>
      </c>
      <c r="B115" s="1" t="n">
        <v>43714</v>
      </c>
      <c r="C115" s="1" t="n">
        <v>45757</v>
      </c>
      <c r="D115" t="inlineStr">
        <is>
          <t>KRONOBERGS LÄN</t>
        </is>
      </c>
      <c r="E115" t="inlineStr">
        <is>
          <t>ALVESTA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45671-2019</t>
        </is>
      </c>
      <c r="B116" s="1" t="n">
        <v>43717</v>
      </c>
      <c r="C116" s="1" t="n">
        <v>45757</v>
      </c>
      <c r="D116" t="inlineStr">
        <is>
          <t>KRONOBERGS LÄN</t>
        </is>
      </c>
      <c r="E116" t="inlineStr">
        <is>
          <t>ALVESTA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46315-2019</t>
        </is>
      </c>
      <c r="B117" s="1" t="n">
        <v>43718</v>
      </c>
      <c r="C117" s="1" t="n">
        <v>45757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46318-2019</t>
        </is>
      </c>
      <c r="B118" s="1" t="n">
        <v>43718</v>
      </c>
      <c r="C118" s="1" t="n">
        <v>45757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47980-2019</t>
        </is>
      </c>
      <c r="B119" s="1" t="n">
        <v>43725</v>
      </c>
      <c r="C119" s="1" t="n">
        <v>45757</v>
      </c>
      <c r="D119" t="inlineStr">
        <is>
          <t>KRONOBERGS LÄN</t>
        </is>
      </c>
      <c r="E119" t="inlineStr">
        <is>
          <t>ALVESTA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48679-2019</t>
        </is>
      </c>
      <c r="B120" s="1" t="n">
        <v>43728</v>
      </c>
      <c r="C120" s="1" t="n">
        <v>45757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48838-2019</t>
        </is>
      </c>
      <c r="B121" s="1" t="n">
        <v>43728</v>
      </c>
      <c r="C121" s="1" t="n">
        <v>45757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48676-2019</t>
        </is>
      </c>
      <c r="B122" s="1" t="n">
        <v>43728</v>
      </c>
      <c r="C122" s="1" t="n">
        <v>45757</v>
      </c>
      <c r="D122" t="inlineStr">
        <is>
          <t>KRONOBERGS LÄN</t>
        </is>
      </c>
      <c r="E122" t="inlineStr">
        <is>
          <t>ALVESTA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48664-2019</t>
        </is>
      </c>
      <c r="B123" s="1" t="n">
        <v>43728</v>
      </c>
      <c r="C123" s="1" t="n">
        <v>45757</v>
      </c>
      <c r="D123" t="inlineStr">
        <is>
          <t>KRONOBERGS LÄN</t>
        </is>
      </c>
      <c r="E123" t="inlineStr">
        <is>
          <t>ALVESTA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48672-2019</t>
        </is>
      </c>
      <c r="B124" s="1" t="n">
        <v>43728</v>
      </c>
      <c r="C124" s="1" t="n">
        <v>45757</v>
      </c>
      <c r="D124" t="inlineStr">
        <is>
          <t>KRONOBERGS LÄN</t>
        </is>
      </c>
      <c r="E124" t="inlineStr">
        <is>
          <t>ALVESTA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49400-2019</t>
        </is>
      </c>
      <c r="B125" s="1" t="n">
        <v>43732</v>
      </c>
      <c r="C125" s="1" t="n">
        <v>45757</v>
      </c>
      <c r="D125" t="inlineStr">
        <is>
          <t>KRONOBERGS LÄN</t>
        </is>
      </c>
      <c r="E125" t="inlineStr">
        <is>
          <t>ALVESTA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49866-2019</t>
        </is>
      </c>
      <c r="B126" s="1" t="n">
        <v>43733</v>
      </c>
      <c r="C126" s="1" t="n">
        <v>45757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51754-2019</t>
        </is>
      </c>
      <c r="B127" s="1" t="n">
        <v>43734</v>
      </c>
      <c r="C127" s="1" t="n">
        <v>45757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50442-2019</t>
        </is>
      </c>
      <c r="B128" s="1" t="n">
        <v>43735</v>
      </c>
      <c r="C128" s="1" t="n">
        <v>45757</v>
      </c>
      <c r="D128" t="inlineStr">
        <is>
          <t>KRONOBERGS LÄN</t>
        </is>
      </c>
      <c r="E128" t="inlineStr">
        <is>
          <t>ALVESTA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51320-2019</t>
        </is>
      </c>
      <c r="B129" s="1" t="n">
        <v>43739</v>
      </c>
      <c r="C129" s="1" t="n">
        <v>45757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51319-2019</t>
        </is>
      </c>
      <c r="B130" s="1" t="n">
        <v>43739</v>
      </c>
      <c r="C130" s="1" t="n">
        <v>45757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51388-2019</t>
        </is>
      </c>
      <c r="B131" s="1" t="n">
        <v>43740</v>
      </c>
      <c r="C131" s="1" t="n">
        <v>45757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54451-2019</t>
        </is>
      </c>
      <c r="B132" s="1" t="n">
        <v>43747</v>
      </c>
      <c r="C132" s="1" t="n">
        <v>45757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54499-2019</t>
        </is>
      </c>
      <c r="B133" s="1" t="n">
        <v>43747</v>
      </c>
      <c r="C133" s="1" t="n">
        <v>45757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54504-2019</t>
        </is>
      </c>
      <c r="B134" s="1" t="n">
        <v>43747</v>
      </c>
      <c r="C134" s="1" t="n">
        <v>45757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54510-2019</t>
        </is>
      </c>
      <c r="B135" s="1" t="n">
        <v>43747</v>
      </c>
      <c r="C135" s="1" t="n">
        <v>45757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54516-2019</t>
        </is>
      </c>
      <c r="B136" s="1" t="n">
        <v>43747</v>
      </c>
      <c r="C136" s="1" t="n">
        <v>45757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54491-2019</t>
        </is>
      </c>
      <c r="B137" s="1" t="n">
        <v>43747</v>
      </c>
      <c r="C137" s="1" t="n">
        <v>45757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54497-2019</t>
        </is>
      </c>
      <c r="B138" s="1" t="n">
        <v>43747</v>
      </c>
      <c r="C138" s="1" t="n">
        <v>45757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54501-2019</t>
        </is>
      </c>
      <c r="B139" s="1" t="n">
        <v>43747</v>
      </c>
      <c r="C139" s="1" t="n">
        <v>45757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54507-2019</t>
        </is>
      </c>
      <c r="B140" s="1" t="n">
        <v>43747</v>
      </c>
      <c r="C140" s="1" t="n">
        <v>45757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54514-2019</t>
        </is>
      </c>
      <c r="B141" s="1" t="n">
        <v>43747</v>
      </c>
      <c r="C141" s="1" t="n">
        <v>45757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54521-2019</t>
        </is>
      </c>
      <c r="B142" s="1" t="n">
        <v>43747</v>
      </c>
      <c r="C142" s="1" t="n">
        <v>45757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54456-2019</t>
        </is>
      </c>
      <c r="B143" s="1" t="n">
        <v>43747</v>
      </c>
      <c r="C143" s="1" t="n">
        <v>45757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54496-2019</t>
        </is>
      </c>
      <c r="B144" s="1" t="n">
        <v>43747</v>
      </c>
      <c r="C144" s="1" t="n">
        <v>45757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54518-2019</t>
        </is>
      </c>
      <c r="B145" s="1" t="n">
        <v>43747</v>
      </c>
      <c r="C145" s="1" t="n">
        <v>45757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54448-2019</t>
        </is>
      </c>
      <c r="B146" s="1" t="n">
        <v>43747</v>
      </c>
      <c r="C146" s="1" t="n">
        <v>45757</v>
      </c>
      <c r="D146" t="inlineStr">
        <is>
          <t>KRONOBERGS LÄN</t>
        </is>
      </c>
      <c r="E146" t="inlineStr">
        <is>
          <t>ALVESTA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54493-2019</t>
        </is>
      </c>
      <c r="B147" s="1" t="n">
        <v>43747</v>
      </c>
      <c r="C147" s="1" t="n">
        <v>45757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54503-2019</t>
        </is>
      </c>
      <c r="B148" s="1" t="n">
        <v>43747</v>
      </c>
      <c r="C148" s="1" t="n">
        <v>45757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54515-2019</t>
        </is>
      </c>
      <c r="B149" s="1" t="n">
        <v>43747</v>
      </c>
      <c r="C149" s="1" t="n">
        <v>45757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54509-2019</t>
        </is>
      </c>
      <c r="B150" s="1" t="n">
        <v>43747</v>
      </c>
      <c r="C150" s="1" t="n">
        <v>45757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54513-2019</t>
        </is>
      </c>
      <c r="B151" s="1" t="n">
        <v>43747</v>
      </c>
      <c r="C151" s="1" t="n">
        <v>45757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54506-2019</t>
        </is>
      </c>
      <c r="B152" s="1" t="n">
        <v>43747</v>
      </c>
      <c r="C152" s="1" t="n">
        <v>45757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54500-2019</t>
        </is>
      </c>
      <c r="B153" s="1" t="n">
        <v>43747</v>
      </c>
      <c r="C153" s="1" t="n">
        <v>45757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54777-2019</t>
        </is>
      </c>
      <c r="B154" s="1" t="n">
        <v>43749</v>
      </c>
      <c r="C154" s="1" t="n">
        <v>45757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54783-2019</t>
        </is>
      </c>
      <c r="B155" s="1" t="n">
        <v>43749</v>
      </c>
      <c r="C155" s="1" t="n">
        <v>45757</v>
      </c>
      <c r="D155" t="inlineStr">
        <is>
          <t>KRONOBERGS LÄN</t>
        </is>
      </c>
      <c r="E155" t="inlineStr">
        <is>
          <t>ALVESTA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54222-2019</t>
        </is>
      </c>
      <c r="B156" s="1" t="n">
        <v>43753</v>
      </c>
      <c r="C156" s="1" t="n">
        <v>45757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54218-2019</t>
        </is>
      </c>
      <c r="B157" s="1" t="n">
        <v>43753</v>
      </c>
      <c r="C157" s="1" t="n">
        <v>45757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54226-2019</t>
        </is>
      </c>
      <c r="B158" s="1" t="n">
        <v>43753</v>
      </c>
      <c r="C158" s="1" t="n">
        <v>45757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54964-2019</t>
        </is>
      </c>
      <c r="B159" s="1" t="n">
        <v>43755</v>
      </c>
      <c r="C159" s="1" t="n">
        <v>45757</v>
      </c>
      <c r="D159" t="inlineStr">
        <is>
          <t>KRONOBERGS LÄN</t>
        </is>
      </c>
      <c r="E159" t="inlineStr">
        <is>
          <t>ALVESTA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55112-2019</t>
        </is>
      </c>
      <c r="B160" s="1" t="n">
        <v>43756</v>
      </c>
      <c r="C160" s="1" t="n">
        <v>45757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56666-2019</t>
        </is>
      </c>
      <c r="B161" s="1" t="n">
        <v>43759</v>
      </c>
      <c r="C161" s="1" t="n">
        <v>45757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59063-2019</t>
        </is>
      </c>
      <c r="B162" s="1" t="n">
        <v>43774</v>
      </c>
      <c r="C162" s="1" t="n">
        <v>45757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59065-2019</t>
        </is>
      </c>
      <c r="B163" s="1" t="n">
        <v>43774</v>
      </c>
      <c r="C163" s="1" t="n">
        <v>45757</v>
      </c>
      <c r="D163" t="inlineStr">
        <is>
          <t>KRONOBERGS LÄN</t>
        </is>
      </c>
      <c r="E163" t="inlineStr">
        <is>
          <t>ALVESTA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59703-2019</t>
        </is>
      </c>
      <c r="B164" s="1" t="n">
        <v>43774</v>
      </c>
      <c r="C164" s="1" t="n">
        <v>45757</v>
      </c>
      <c r="D164" t="inlineStr">
        <is>
          <t>KRONOBERGS LÄN</t>
        </is>
      </c>
      <c r="E164" t="inlineStr">
        <is>
          <t>ALVESTA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59708-2019</t>
        </is>
      </c>
      <c r="B165" s="1" t="n">
        <v>43774</v>
      </c>
      <c r="C165" s="1" t="n">
        <v>45757</v>
      </c>
      <c r="D165" t="inlineStr">
        <is>
          <t>KRONOBERGS LÄN</t>
        </is>
      </c>
      <c r="E165" t="inlineStr">
        <is>
          <t>ALVESTA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59062-2019</t>
        </is>
      </c>
      <c r="B166" s="1" t="n">
        <v>43774</v>
      </c>
      <c r="C166" s="1" t="n">
        <v>45757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59848-2019</t>
        </is>
      </c>
      <c r="B167" s="1" t="n">
        <v>43777</v>
      </c>
      <c r="C167" s="1" t="n">
        <v>45757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59851-2019</t>
        </is>
      </c>
      <c r="B168" s="1" t="n">
        <v>43777</v>
      </c>
      <c r="C168" s="1" t="n">
        <v>45757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60526-2019</t>
        </is>
      </c>
      <c r="B169" s="1" t="n">
        <v>43781</v>
      </c>
      <c r="C169" s="1" t="n">
        <v>45757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62156-2019</t>
        </is>
      </c>
      <c r="B170" s="1" t="n">
        <v>43787</v>
      </c>
      <c r="C170" s="1" t="n">
        <v>45757</v>
      </c>
      <c r="D170" t="inlineStr">
        <is>
          <t>KRONOBERGS LÄN</t>
        </is>
      </c>
      <c r="E170" t="inlineStr">
        <is>
          <t>ALVESTA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63461-2019</t>
        </is>
      </c>
      <c r="B171" s="1" t="n">
        <v>43794</v>
      </c>
      <c r="C171" s="1" t="n">
        <v>45757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63638-2019</t>
        </is>
      </c>
      <c r="B172" s="1" t="n">
        <v>43795</v>
      </c>
      <c r="C172" s="1" t="n">
        <v>45757</v>
      </c>
      <c r="D172" t="inlineStr">
        <is>
          <t>KRONOBERGS LÄN</t>
        </is>
      </c>
      <c r="E172" t="inlineStr">
        <is>
          <t>ALVESTA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HYPERLINK("https://klasma.github.io/Logging_0764/knärot/A 63638-2019 karta knärot.png", "A 63638-2019")</f>
        <v/>
      </c>
      <c r="V172">
        <f>HYPERLINK("https://klasma.github.io/Logging_0764/klagomål/A 63638-2019 FSC-klagomål.docx", "A 63638-2019")</f>
        <v/>
      </c>
      <c r="W172">
        <f>HYPERLINK("https://klasma.github.io/Logging_0764/klagomålsmail/A 63638-2019 FSC-klagomål mail.docx", "A 63638-2019")</f>
        <v/>
      </c>
      <c r="X172">
        <f>HYPERLINK("https://klasma.github.io/Logging_0764/tillsyn/A 63638-2019 tillsynsbegäran.docx", "A 63638-2019")</f>
        <v/>
      </c>
      <c r="Y172">
        <f>HYPERLINK("https://klasma.github.io/Logging_0764/tillsynsmail/A 63638-2019 tillsynsbegäran mail.docx", "A 63638-2019")</f>
        <v/>
      </c>
    </row>
    <row r="173" ht="15" customHeight="1">
      <c r="A173" t="inlineStr">
        <is>
          <t>A 63633-2019</t>
        </is>
      </c>
      <c r="B173" s="1" t="n">
        <v>43795</v>
      </c>
      <c r="C173" s="1" t="n">
        <v>45757</v>
      </c>
      <c r="D173" t="inlineStr">
        <is>
          <t>KRONOBERGS LÄN</t>
        </is>
      </c>
      <c r="E173" t="inlineStr">
        <is>
          <t>ALVESTA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63631-2019</t>
        </is>
      </c>
      <c r="B174" s="1" t="n">
        <v>43795</v>
      </c>
      <c r="C174" s="1" t="n">
        <v>45757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63639-2019</t>
        </is>
      </c>
      <c r="B175" s="1" t="n">
        <v>43795</v>
      </c>
      <c r="C175" s="1" t="n">
        <v>45757</v>
      </c>
      <c r="D175" t="inlineStr">
        <is>
          <t>KRONOBERGS LÄN</t>
        </is>
      </c>
      <c r="E175" t="inlineStr">
        <is>
          <t>ALVESTA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64570-2019</t>
        </is>
      </c>
      <c r="B176" s="1" t="n">
        <v>43798</v>
      </c>
      <c r="C176" s="1" t="n">
        <v>45757</v>
      </c>
      <c r="D176" t="inlineStr">
        <is>
          <t>KRONOBERGS LÄN</t>
        </is>
      </c>
      <c r="E176" t="inlineStr">
        <is>
          <t>ALVESTA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64875-2019</t>
        </is>
      </c>
      <c r="B177" s="1" t="n">
        <v>43801</v>
      </c>
      <c r="C177" s="1" t="n">
        <v>45757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65297-2019</t>
        </is>
      </c>
      <c r="B178" s="1" t="n">
        <v>43802</v>
      </c>
      <c r="C178" s="1" t="n">
        <v>45757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65300-2019</t>
        </is>
      </c>
      <c r="B179" s="1" t="n">
        <v>43802</v>
      </c>
      <c r="C179" s="1" t="n">
        <v>45757</v>
      </c>
      <c r="D179" t="inlineStr">
        <is>
          <t>KRONOBERGS LÄN</t>
        </is>
      </c>
      <c r="E179" t="inlineStr">
        <is>
          <t>ALVESTA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66189-2019</t>
        </is>
      </c>
      <c r="B180" s="1" t="n">
        <v>43808</v>
      </c>
      <c r="C180" s="1" t="n">
        <v>45757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67908-2019</t>
        </is>
      </c>
      <c r="B181" s="1" t="n">
        <v>43816</v>
      </c>
      <c r="C181" s="1" t="n">
        <v>45757</v>
      </c>
      <c r="D181" t="inlineStr">
        <is>
          <t>KRONOBERGS LÄN</t>
        </is>
      </c>
      <c r="E181" t="inlineStr">
        <is>
          <t>ALVESTA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68262-2019</t>
        </is>
      </c>
      <c r="B182" s="1" t="n">
        <v>43817</v>
      </c>
      <c r="C182" s="1" t="n">
        <v>45757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68263-2019</t>
        </is>
      </c>
      <c r="B183" s="1" t="n">
        <v>43817</v>
      </c>
      <c r="C183" s="1" t="n">
        <v>45757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68261-2019</t>
        </is>
      </c>
      <c r="B184" s="1" t="n">
        <v>43817</v>
      </c>
      <c r="C184" s="1" t="n">
        <v>45757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68652-2019</t>
        </is>
      </c>
      <c r="B185" s="1" t="n">
        <v>43819</v>
      </c>
      <c r="C185" s="1" t="n">
        <v>45757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68664-2019</t>
        </is>
      </c>
      <c r="B186" s="1" t="n">
        <v>43819</v>
      </c>
      <c r="C186" s="1" t="n">
        <v>45757</v>
      </c>
      <c r="D186" t="inlineStr">
        <is>
          <t>KRONOBERGS LÄN</t>
        </is>
      </c>
      <c r="E186" t="inlineStr">
        <is>
          <t>ALVESTA</t>
        </is>
      </c>
      <c r="F186" t="inlineStr">
        <is>
          <t>Övriga Aktiebolag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68993-2019</t>
        </is>
      </c>
      <c r="B187" s="1" t="n">
        <v>43826</v>
      </c>
      <c r="C187" s="1" t="n">
        <v>45757</v>
      </c>
      <c r="D187" t="inlineStr">
        <is>
          <t>KRONOBERGS LÄN</t>
        </is>
      </c>
      <c r="E187" t="inlineStr">
        <is>
          <t>ALVESTA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69003-2019</t>
        </is>
      </c>
      <c r="B188" s="1" t="n">
        <v>43826</v>
      </c>
      <c r="C188" s="1" t="n">
        <v>45757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69004-2019</t>
        </is>
      </c>
      <c r="B189" s="1" t="n">
        <v>43826</v>
      </c>
      <c r="C189" s="1" t="n">
        <v>45757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240-2020</t>
        </is>
      </c>
      <c r="B190" s="1" t="n">
        <v>43835</v>
      </c>
      <c r="C190" s="1" t="n">
        <v>45757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519-2020</t>
        </is>
      </c>
      <c r="B191" s="1" t="n">
        <v>43837</v>
      </c>
      <c r="C191" s="1" t="n">
        <v>45757</v>
      </c>
      <c r="D191" t="inlineStr">
        <is>
          <t>KRONOBERGS LÄN</t>
        </is>
      </c>
      <c r="E191" t="inlineStr">
        <is>
          <t>ALVESTA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635-2020</t>
        </is>
      </c>
      <c r="B192" s="1" t="n">
        <v>43838</v>
      </c>
      <c r="C192" s="1" t="n">
        <v>45757</v>
      </c>
      <c r="D192" t="inlineStr">
        <is>
          <t>KRONOBERGS LÄN</t>
        </is>
      </c>
      <c r="E192" t="inlineStr">
        <is>
          <t>ALVESTA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855-2020</t>
        </is>
      </c>
      <c r="B193" s="1" t="n">
        <v>43839</v>
      </c>
      <c r="C193" s="1" t="n">
        <v>45757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1172-2020</t>
        </is>
      </c>
      <c r="B194" s="1" t="n">
        <v>43840</v>
      </c>
      <c r="C194" s="1" t="n">
        <v>45757</v>
      </c>
      <c r="D194" t="inlineStr">
        <is>
          <t>KRONOBERGS LÄN</t>
        </is>
      </c>
      <c r="E194" t="inlineStr">
        <is>
          <t>ALVESTA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1349-2020</t>
        </is>
      </c>
      <c r="B195" s="1" t="n">
        <v>43843</v>
      </c>
      <c r="C195" s="1" t="n">
        <v>45757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3709-2020</t>
        </is>
      </c>
      <c r="B196" s="1" t="n">
        <v>43853</v>
      </c>
      <c r="C196" s="1" t="n">
        <v>45757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3712-2020</t>
        </is>
      </c>
      <c r="B197" s="1" t="n">
        <v>43853</v>
      </c>
      <c r="C197" s="1" t="n">
        <v>45757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3612-2020</t>
        </is>
      </c>
      <c r="B198" s="1" t="n">
        <v>43853</v>
      </c>
      <c r="C198" s="1" t="n">
        <v>45757</v>
      </c>
      <c r="D198" t="inlineStr">
        <is>
          <t>KRONOBERGS LÄN</t>
        </is>
      </c>
      <c r="E198" t="inlineStr">
        <is>
          <t>ALVESTA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3767-2020</t>
        </is>
      </c>
      <c r="B199" s="1" t="n">
        <v>43854</v>
      </c>
      <c r="C199" s="1" t="n">
        <v>45757</v>
      </c>
      <c r="D199" t="inlineStr">
        <is>
          <t>KRONOBERGS LÄN</t>
        </is>
      </c>
      <c r="E199" t="inlineStr">
        <is>
          <t>ALVESTA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3786-2020</t>
        </is>
      </c>
      <c r="B200" s="1" t="n">
        <v>43854</v>
      </c>
      <c r="C200" s="1" t="n">
        <v>45757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4719-2020</t>
        </is>
      </c>
      <c r="B201" s="1" t="n">
        <v>43858</v>
      </c>
      <c r="C201" s="1" t="n">
        <v>45757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4718-2020</t>
        </is>
      </c>
      <c r="B202" s="1" t="n">
        <v>43858</v>
      </c>
      <c r="C202" s="1" t="n">
        <v>45757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4722-2020</t>
        </is>
      </c>
      <c r="B203" s="1" t="n">
        <v>43858</v>
      </c>
      <c r="C203" s="1" t="n">
        <v>45757</v>
      </c>
      <c r="D203" t="inlineStr">
        <is>
          <t>KRONOBERGS LÄN</t>
        </is>
      </c>
      <c r="E203" t="inlineStr">
        <is>
          <t>ALVESTA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4902-2020</t>
        </is>
      </c>
      <c r="B204" s="1" t="n">
        <v>43859</v>
      </c>
      <c r="C204" s="1" t="n">
        <v>45757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6996-2020</t>
        </is>
      </c>
      <c r="B205" s="1" t="n">
        <v>43868</v>
      </c>
      <c r="C205" s="1" t="n">
        <v>45757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7245-2020</t>
        </is>
      </c>
      <c r="B206" s="1" t="n">
        <v>43871</v>
      </c>
      <c r="C206" s="1" t="n">
        <v>45757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8618-2020</t>
        </is>
      </c>
      <c r="B207" s="1" t="n">
        <v>43878</v>
      </c>
      <c r="C207" s="1" t="n">
        <v>45757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8983-2020</t>
        </is>
      </c>
      <c r="B208" s="1" t="n">
        <v>43879</v>
      </c>
      <c r="C208" s="1" t="n">
        <v>45757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9070-2020</t>
        </is>
      </c>
      <c r="B209" s="1" t="n">
        <v>43879</v>
      </c>
      <c r="C209" s="1" t="n">
        <v>45757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9300-2020</t>
        </is>
      </c>
      <c r="B210" s="1" t="n">
        <v>43880</v>
      </c>
      <c r="C210" s="1" t="n">
        <v>45757</v>
      </c>
      <c r="D210" t="inlineStr">
        <is>
          <t>KRONOBERGS LÄN</t>
        </is>
      </c>
      <c r="E210" t="inlineStr">
        <is>
          <t>ALVESTA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10531-2020</t>
        </is>
      </c>
      <c r="B211" s="1" t="n">
        <v>43886</v>
      </c>
      <c r="C211" s="1" t="n">
        <v>45757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11583-2020</t>
        </is>
      </c>
      <c r="B212" s="1" t="n">
        <v>43893</v>
      </c>
      <c r="C212" s="1" t="n">
        <v>45757</v>
      </c>
      <c r="D212" t="inlineStr">
        <is>
          <t>KRONOBERGS LÄN</t>
        </is>
      </c>
      <c r="E212" t="inlineStr">
        <is>
          <t>ALVESTA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11571-2020</t>
        </is>
      </c>
      <c r="B213" s="1" t="n">
        <v>43893</v>
      </c>
      <c r="C213" s="1" t="n">
        <v>45757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11582-2020</t>
        </is>
      </c>
      <c r="B214" s="1" t="n">
        <v>43893</v>
      </c>
      <c r="C214" s="1" t="n">
        <v>45757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11570-2020</t>
        </is>
      </c>
      <c r="B215" s="1" t="n">
        <v>43893</v>
      </c>
      <c r="C215" s="1" t="n">
        <v>45757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11958-2020</t>
        </is>
      </c>
      <c r="B216" s="1" t="n">
        <v>43894</v>
      </c>
      <c r="C216" s="1" t="n">
        <v>45757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12132-2020</t>
        </is>
      </c>
      <c r="B217" s="1" t="n">
        <v>43895</v>
      </c>
      <c r="C217" s="1" t="n">
        <v>45757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13120-2020</t>
        </is>
      </c>
      <c r="B218" s="1" t="n">
        <v>43901</v>
      </c>
      <c r="C218" s="1" t="n">
        <v>45757</v>
      </c>
      <c r="D218" t="inlineStr">
        <is>
          <t>KRONOBERGS LÄN</t>
        </is>
      </c>
      <c r="E218" t="inlineStr">
        <is>
          <t>ALVESTA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15773-2020</t>
        </is>
      </c>
      <c r="B219" s="1" t="n">
        <v>43915</v>
      </c>
      <c r="C219" s="1" t="n">
        <v>45757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15770-2020</t>
        </is>
      </c>
      <c r="B220" s="1" t="n">
        <v>43915</v>
      </c>
      <c r="C220" s="1" t="n">
        <v>45757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16945-2020</t>
        </is>
      </c>
      <c r="B221" s="1" t="n">
        <v>43921</v>
      </c>
      <c r="C221" s="1" t="n">
        <v>45757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19551-2020</t>
        </is>
      </c>
      <c r="B222" s="1" t="n">
        <v>43941</v>
      </c>
      <c r="C222" s="1" t="n">
        <v>45757</v>
      </c>
      <c r="D222" t="inlineStr">
        <is>
          <t>KRONOBERGS LÄN</t>
        </is>
      </c>
      <c r="E222" t="inlineStr">
        <is>
          <t>ALVESTA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19555-2020</t>
        </is>
      </c>
      <c r="B223" s="1" t="n">
        <v>43941</v>
      </c>
      <c r="C223" s="1" t="n">
        <v>45757</v>
      </c>
      <c r="D223" t="inlineStr">
        <is>
          <t>KRONOBERGS LÄN</t>
        </is>
      </c>
      <c r="E223" t="inlineStr">
        <is>
          <t>ALVESTA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21366-2020</t>
        </is>
      </c>
      <c r="B224" s="1" t="n">
        <v>43955</v>
      </c>
      <c r="C224" s="1" t="n">
        <v>45757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22269-2020</t>
        </is>
      </c>
      <c r="B225" s="1" t="n">
        <v>43962</v>
      </c>
      <c r="C225" s="1" t="n">
        <v>45757</v>
      </c>
      <c r="D225" t="inlineStr">
        <is>
          <t>KRONOBERGS LÄN</t>
        </is>
      </c>
      <c r="E225" t="inlineStr">
        <is>
          <t>ALVESTA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23727-2020</t>
        </is>
      </c>
      <c r="B226" s="1" t="n">
        <v>43970</v>
      </c>
      <c r="C226" s="1" t="n">
        <v>45757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24946-2020</t>
        </is>
      </c>
      <c r="B227" s="1" t="n">
        <v>43979</v>
      </c>
      <c r="C227" s="1" t="n">
        <v>45757</v>
      </c>
      <c r="D227" t="inlineStr">
        <is>
          <t>KRONOBERGS LÄN</t>
        </is>
      </c>
      <c r="E227" t="inlineStr">
        <is>
          <t>ALVESTA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24944-2020</t>
        </is>
      </c>
      <c r="B228" s="1" t="n">
        <v>43979</v>
      </c>
      <c r="C228" s="1" t="n">
        <v>45757</v>
      </c>
      <c r="D228" t="inlineStr">
        <is>
          <t>KRONOBERGS LÄN</t>
        </is>
      </c>
      <c r="E228" t="inlineStr">
        <is>
          <t>ALVESTA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26120-2020</t>
        </is>
      </c>
      <c r="B229" s="1" t="n">
        <v>43985</v>
      </c>
      <c r="C229" s="1" t="n">
        <v>45757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26934-2020</t>
        </is>
      </c>
      <c r="B230" s="1" t="n">
        <v>43990</v>
      </c>
      <c r="C230" s="1" t="n">
        <v>45757</v>
      </c>
      <c r="D230" t="inlineStr">
        <is>
          <t>KRONOBERGS LÄN</t>
        </is>
      </c>
      <c r="E230" t="inlineStr">
        <is>
          <t>ALVESTA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27751-2020</t>
        </is>
      </c>
      <c r="B231" s="1" t="n">
        <v>43992</v>
      </c>
      <c r="C231" s="1" t="n">
        <v>45757</v>
      </c>
      <c r="D231" t="inlineStr">
        <is>
          <t>KRONOBERGS LÄN</t>
        </is>
      </c>
      <c r="E231" t="inlineStr">
        <is>
          <t>ALVESTA</t>
        </is>
      </c>
      <c r="G231" t="n">
        <v>12.9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27753-2020</t>
        </is>
      </c>
      <c r="B232" s="1" t="n">
        <v>43992</v>
      </c>
      <c r="C232" s="1" t="n">
        <v>45757</v>
      </c>
      <c r="D232" t="inlineStr">
        <is>
          <t>KRONOBERGS LÄN</t>
        </is>
      </c>
      <c r="E232" t="inlineStr">
        <is>
          <t>ALVESTA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28818-2020</t>
        </is>
      </c>
      <c r="B233" s="1" t="n">
        <v>44000</v>
      </c>
      <c r="C233" s="1" t="n">
        <v>45757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28820-2020</t>
        </is>
      </c>
      <c r="B234" s="1" t="n">
        <v>44000</v>
      </c>
      <c r="C234" s="1" t="n">
        <v>45757</v>
      </c>
      <c r="D234" t="inlineStr">
        <is>
          <t>KRONOBERGS LÄN</t>
        </is>
      </c>
      <c r="E234" t="inlineStr">
        <is>
          <t>ALVESTA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29348-2020</t>
        </is>
      </c>
      <c r="B235" s="1" t="n">
        <v>44000</v>
      </c>
      <c r="C235" s="1" t="n">
        <v>45757</v>
      </c>
      <c r="D235" t="inlineStr">
        <is>
          <t>KRONOBERGS LÄN</t>
        </is>
      </c>
      <c r="E235" t="inlineStr">
        <is>
          <t>ALVESTA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29342-2020</t>
        </is>
      </c>
      <c r="B236" s="1" t="n">
        <v>44000</v>
      </c>
      <c r="C236" s="1" t="n">
        <v>45757</v>
      </c>
      <c r="D236" t="inlineStr">
        <is>
          <t>KRONOBERGS LÄN</t>
        </is>
      </c>
      <c r="E236" t="inlineStr">
        <is>
          <t>ALVESTA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29332-2020</t>
        </is>
      </c>
      <c r="B237" s="1" t="n">
        <v>44000</v>
      </c>
      <c r="C237" s="1" t="n">
        <v>45757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29120-2020</t>
        </is>
      </c>
      <c r="B238" s="1" t="n">
        <v>44004</v>
      </c>
      <c r="C238" s="1" t="n">
        <v>45757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29450-2020</t>
        </is>
      </c>
      <c r="B239" s="1" t="n">
        <v>44004</v>
      </c>
      <c r="C239" s="1" t="n">
        <v>45757</v>
      </c>
      <c r="D239" t="inlineStr">
        <is>
          <t>KRONOBERGS LÄN</t>
        </is>
      </c>
      <c r="E239" t="inlineStr">
        <is>
          <t>ALVESTA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29765-2020</t>
        </is>
      </c>
      <c r="B240" s="1" t="n">
        <v>44005</v>
      </c>
      <c r="C240" s="1" t="n">
        <v>45757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30438-2020</t>
        </is>
      </c>
      <c r="B241" s="1" t="n">
        <v>44007</v>
      </c>
      <c r="C241" s="1" t="n">
        <v>45757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31140-2020</t>
        </is>
      </c>
      <c r="B242" s="1" t="n">
        <v>44012</v>
      </c>
      <c r="C242" s="1" t="n">
        <v>45757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31133-2020</t>
        </is>
      </c>
      <c r="B243" s="1" t="n">
        <v>44012</v>
      </c>
      <c r="C243" s="1" t="n">
        <v>45757</v>
      </c>
      <c r="D243" t="inlineStr">
        <is>
          <t>KRONOBERGS LÄN</t>
        </is>
      </c>
      <c r="E243" t="inlineStr">
        <is>
          <t>ALVESTA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31124-2020</t>
        </is>
      </c>
      <c r="B244" s="1" t="n">
        <v>44012</v>
      </c>
      <c r="C244" s="1" t="n">
        <v>45757</v>
      </c>
      <c r="D244" t="inlineStr">
        <is>
          <t>KRONOBERGS LÄN</t>
        </is>
      </c>
      <c r="E244" t="inlineStr">
        <is>
          <t>ALVESTA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31726-2020</t>
        </is>
      </c>
      <c r="B245" s="1" t="n">
        <v>44014</v>
      </c>
      <c r="C245" s="1" t="n">
        <v>45757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31778-2020</t>
        </is>
      </c>
      <c r="B246" s="1" t="n">
        <v>44014</v>
      </c>
      <c r="C246" s="1" t="n">
        <v>45757</v>
      </c>
      <c r="D246" t="inlineStr">
        <is>
          <t>KRONOBERGS LÄN</t>
        </is>
      </c>
      <c r="E246" t="inlineStr">
        <is>
          <t>ALVESTA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32345-2020</t>
        </is>
      </c>
      <c r="B247" s="1" t="n">
        <v>44016</v>
      </c>
      <c r="C247" s="1" t="n">
        <v>45757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32346-2020</t>
        </is>
      </c>
      <c r="B248" s="1" t="n">
        <v>44016</v>
      </c>
      <c r="C248" s="1" t="n">
        <v>45757</v>
      </c>
      <c r="D248" t="inlineStr">
        <is>
          <t>KRONOBERGS LÄN</t>
        </is>
      </c>
      <c r="E248" t="inlineStr">
        <is>
          <t>ALVESTA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32347-2020</t>
        </is>
      </c>
      <c r="B249" s="1" t="n">
        <v>44016</v>
      </c>
      <c r="C249" s="1" t="n">
        <v>45757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32492-2020</t>
        </is>
      </c>
      <c r="B250" s="1" t="n">
        <v>44018</v>
      </c>
      <c r="C250" s="1" t="n">
        <v>45757</v>
      </c>
      <c r="D250" t="inlineStr">
        <is>
          <t>KRONOBERGS LÄN</t>
        </is>
      </c>
      <c r="E250" t="inlineStr">
        <is>
          <t>ALVESTA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32496-2020</t>
        </is>
      </c>
      <c r="B251" s="1" t="n">
        <v>44018</v>
      </c>
      <c r="C251" s="1" t="n">
        <v>45757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32824-2020</t>
        </is>
      </c>
      <c r="B252" s="1" t="n">
        <v>44018</v>
      </c>
      <c r="C252" s="1" t="n">
        <v>45757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32839-2020</t>
        </is>
      </c>
      <c r="B253" s="1" t="n">
        <v>44018</v>
      </c>
      <c r="C253" s="1" t="n">
        <v>45757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33710-2020</t>
        </is>
      </c>
      <c r="B254" s="1" t="n">
        <v>44022</v>
      </c>
      <c r="C254" s="1" t="n">
        <v>45757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33314-2020</t>
        </is>
      </c>
      <c r="B255" s="1" t="n">
        <v>44022</v>
      </c>
      <c r="C255" s="1" t="n">
        <v>45757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34377-2020</t>
        </is>
      </c>
      <c r="B256" s="1" t="n">
        <v>44032</v>
      </c>
      <c r="C256" s="1" t="n">
        <v>45757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34728-2020</t>
        </is>
      </c>
      <c r="B257" s="1" t="n">
        <v>44035</v>
      </c>
      <c r="C257" s="1" t="n">
        <v>45757</v>
      </c>
      <c r="D257" t="inlineStr">
        <is>
          <t>KRONOBERGS LÄN</t>
        </is>
      </c>
      <c r="E257" t="inlineStr">
        <is>
          <t>ALVESTA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34914-2020</t>
        </is>
      </c>
      <c r="B258" s="1" t="n">
        <v>44036</v>
      </c>
      <c r="C258" s="1" t="n">
        <v>45757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35717-2020</t>
        </is>
      </c>
      <c r="B259" s="1" t="n">
        <v>44046</v>
      </c>
      <c r="C259" s="1" t="n">
        <v>45757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35972-2020</t>
        </is>
      </c>
      <c r="B260" s="1" t="n">
        <v>44047</v>
      </c>
      <c r="C260" s="1" t="n">
        <v>45757</v>
      </c>
      <c r="D260" t="inlineStr">
        <is>
          <t>KRONOBERGS LÄN</t>
        </is>
      </c>
      <c r="E260" t="inlineStr">
        <is>
          <t>ALVESTA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36093-2020</t>
        </is>
      </c>
      <c r="B261" s="1" t="n">
        <v>44048</v>
      </c>
      <c r="C261" s="1" t="n">
        <v>45757</v>
      </c>
      <c r="D261" t="inlineStr">
        <is>
          <t>KRONOBERGS LÄN</t>
        </is>
      </c>
      <c r="E261" t="inlineStr">
        <is>
          <t>ALVESTA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36087-2020</t>
        </is>
      </c>
      <c r="B262" s="1" t="n">
        <v>44048</v>
      </c>
      <c r="C262" s="1" t="n">
        <v>45757</v>
      </c>
      <c r="D262" t="inlineStr">
        <is>
          <t>KRONOBERGS LÄN</t>
        </is>
      </c>
      <c r="E262" t="inlineStr">
        <is>
          <t>ALVESTA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36353-2020</t>
        </is>
      </c>
      <c r="B263" s="1" t="n">
        <v>44049</v>
      </c>
      <c r="C263" s="1" t="n">
        <v>45757</v>
      </c>
      <c r="D263" t="inlineStr">
        <is>
          <t>KRONOBERGS LÄN</t>
        </is>
      </c>
      <c r="E263" t="inlineStr">
        <is>
          <t>ALVESTA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36623-2020</t>
        </is>
      </c>
      <c r="B264" s="1" t="n">
        <v>44050</v>
      </c>
      <c r="C264" s="1" t="n">
        <v>45757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36679-2020</t>
        </is>
      </c>
      <c r="B265" s="1" t="n">
        <v>44051</v>
      </c>
      <c r="C265" s="1" t="n">
        <v>45757</v>
      </c>
      <c r="D265" t="inlineStr">
        <is>
          <t>KRONOBERGS LÄN</t>
        </is>
      </c>
      <c r="E265" t="inlineStr">
        <is>
          <t>ALVESTA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36886-2020</t>
        </is>
      </c>
      <c r="B266" s="1" t="n">
        <v>44053</v>
      </c>
      <c r="C266" s="1" t="n">
        <v>45757</v>
      </c>
      <c r="D266" t="inlineStr">
        <is>
          <t>KRONOBERGS LÄN</t>
        </is>
      </c>
      <c r="E266" t="inlineStr">
        <is>
          <t>ALVESTA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37105-2020</t>
        </is>
      </c>
      <c r="B267" s="1" t="n">
        <v>44054</v>
      </c>
      <c r="C267" s="1" t="n">
        <v>45757</v>
      </c>
      <c r="D267" t="inlineStr">
        <is>
          <t>KRONOBERGS LÄN</t>
        </is>
      </c>
      <c r="E267" t="inlineStr">
        <is>
          <t>ALVESTA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37109-2020</t>
        </is>
      </c>
      <c r="B268" s="1" t="n">
        <v>44054</v>
      </c>
      <c r="C268" s="1" t="n">
        <v>45757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37750-2020</t>
        </is>
      </c>
      <c r="B269" s="1" t="n">
        <v>44056</v>
      </c>
      <c r="C269" s="1" t="n">
        <v>45757</v>
      </c>
      <c r="D269" t="inlineStr">
        <is>
          <t>KRONOBERGS LÄN</t>
        </is>
      </c>
      <c r="E269" t="inlineStr">
        <is>
          <t>ALVESTA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37744-2020</t>
        </is>
      </c>
      <c r="B270" s="1" t="n">
        <v>44056</v>
      </c>
      <c r="C270" s="1" t="n">
        <v>45757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38157-2020</t>
        </is>
      </c>
      <c r="B271" s="1" t="n">
        <v>44060</v>
      </c>
      <c r="C271" s="1" t="n">
        <v>45757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38537-2020</t>
        </is>
      </c>
      <c r="B272" s="1" t="n">
        <v>44061</v>
      </c>
      <c r="C272" s="1" t="n">
        <v>45757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38669-2020</t>
        </is>
      </c>
      <c r="B273" s="1" t="n">
        <v>44061</v>
      </c>
      <c r="C273" s="1" t="n">
        <v>45757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39030-2020</t>
        </is>
      </c>
      <c r="B274" s="1" t="n">
        <v>44062</v>
      </c>
      <c r="C274" s="1" t="n">
        <v>45757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39368-2020</t>
        </is>
      </c>
      <c r="B275" s="1" t="n">
        <v>44064</v>
      </c>
      <c r="C275" s="1" t="n">
        <v>45757</v>
      </c>
      <c r="D275" t="inlineStr">
        <is>
          <t>KRONOBERGS LÄN</t>
        </is>
      </c>
      <c r="E275" t="inlineStr">
        <is>
          <t>ALVESTA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39556-2020</t>
        </is>
      </c>
      <c r="B276" s="1" t="n">
        <v>44064</v>
      </c>
      <c r="C276" s="1" t="n">
        <v>45757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40104-2020</t>
        </is>
      </c>
      <c r="B277" s="1" t="n">
        <v>44067</v>
      </c>
      <c r="C277" s="1" t="n">
        <v>45757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41484-2020</t>
        </is>
      </c>
      <c r="B278" s="1" t="n">
        <v>44074</v>
      </c>
      <c r="C278" s="1" t="n">
        <v>45757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41482-2020</t>
        </is>
      </c>
      <c r="B279" s="1" t="n">
        <v>44074</v>
      </c>
      <c r="C279" s="1" t="n">
        <v>45757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42265-2020</t>
        </is>
      </c>
      <c r="B280" s="1" t="n">
        <v>44076</v>
      </c>
      <c r="C280" s="1" t="n">
        <v>45757</v>
      </c>
      <c r="D280" t="inlineStr">
        <is>
          <t>KRONOBERGS LÄN</t>
        </is>
      </c>
      <c r="E280" t="inlineStr">
        <is>
          <t>ALVESTA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42543-2020</t>
        </is>
      </c>
      <c r="B281" s="1" t="n">
        <v>44077</v>
      </c>
      <c r="C281" s="1" t="n">
        <v>45757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42994-2020</t>
        </is>
      </c>
      <c r="B282" s="1" t="n">
        <v>44078</v>
      </c>
      <c r="C282" s="1" t="n">
        <v>45757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43018-2020</t>
        </is>
      </c>
      <c r="B283" s="1" t="n">
        <v>44078</v>
      </c>
      <c r="C283" s="1" t="n">
        <v>45757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42991-2020</t>
        </is>
      </c>
      <c r="B284" s="1" t="n">
        <v>44078</v>
      </c>
      <c r="C284" s="1" t="n">
        <v>45757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43012-2020</t>
        </is>
      </c>
      <c r="B285" s="1" t="n">
        <v>44078</v>
      </c>
      <c r="C285" s="1" t="n">
        <v>45757</v>
      </c>
      <c r="D285" t="inlineStr">
        <is>
          <t>KRONOBERGS LÄN</t>
        </is>
      </c>
      <c r="E285" t="inlineStr">
        <is>
          <t>ALVESTA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44242-2020</t>
        </is>
      </c>
      <c r="B286" s="1" t="n">
        <v>44084</v>
      </c>
      <c r="C286" s="1" t="n">
        <v>45757</v>
      </c>
      <c r="D286" t="inlineStr">
        <is>
          <t>KRONOBERGS LÄN</t>
        </is>
      </c>
      <c r="E286" t="inlineStr">
        <is>
          <t>ALVESTA</t>
        </is>
      </c>
      <c r="F286" t="inlineStr">
        <is>
          <t>Kyrkan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44601-2020</t>
        </is>
      </c>
      <c r="B287" s="1" t="n">
        <v>44085</v>
      </c>
      <c r="C287" s="1" t="n">
        <v>45757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45256-2020</t>
        </is>
      </c>
      <c r="B288" s="1" t="n">
        <v>44089</v>
      </c>
      <c r="C288" s="1" t="n">
        <v>45757</v>
      </c>
      <c r="D288" t="inlineStr">
        <is>
          <t>KRONOBERGS LÄN</t>
        </is>
      </c>
      <c r="E288" t="inlineStr">
        <is>
          <t>ALVESTA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46510-2020</t>
        </is>
      </c>
      <c r="B289" s="1" t="n">
        <v>44095</v>
      </c>
      <c r="C289" s="1" t="n">
        <v>45757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49950-2020</t>
        </is>
      </c>
      <c r="B290" s="1" t="n">
        <v>44109</v>
      </c>
      <c r="C290" s="1" t="n">
        <v>45757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50747-2020</t>
        </is>
      </c>
      <c r="B291" s="1" t="n">
        <v>44111</v>
      </c>
      <c r="C291" s="1" t="n">
        <v>45757</v>
      </c>
      <c r="D291" t="inlineStr">
        <is>
          <t>KRONOBERGS LÄN</t>
        </is>
      </c>
      <c r="E291" t="inlineStr">
        <is>
          <t>ALVESTA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51614-2020</t>
        </is>
      </c>
      <c r="B292" s="1" t="n">
        <v>44113</v>
      </c>
      <c r="C292" s="1" t="n">
        <v>45757</v>
      </c>
      <c r="D292" t="inlineStr">
        <is>
          <t>KRONOBERGS LÄN</t>
        </is>
      </c>
      <c r="E292" t="inlineStr">
        <is>
          <t>ALVESTA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51772-2020</t>
        </is>
      </c>
      <c r="B293" s="1" t="n">
        <v>44115</v>
      </c>
      <c r="C293" s="1" t="n">
        <v>45757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51771-2020</t>
        </is>
      </c>
      <c r="B294" s="1" t="n">
        <v>44115</v>
      </c>
      <c r="C294" s="1" t="n">
        <v>45757</v>
      </c>
      <c r="D294" t="inlineStr">
        <is>
          <t>KRONOBERGS LÄN</t>
        </is>
      </c>
      <c r="E294" t="inlineStr">
        <is>
          <t>ALVESTA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51931-2020</t>
        </is>
      </c>
      <c r="B295" s="1" t="n">
        <v>44116</v>
      </c>
      <c r="C295" s="1" t="n">
        <v>45757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52082-2020</t>
        </is>
      </c>
      <c r="B296" s="1" t="n">
        <v>44117</v>
      </c>
      <c r="C296" s="1" t="n">
        <v>45757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53325-2020</t>
        </is>
      </c>
      <c r="B297" s="1" t="n">
        <v>44123</v>
      </c>
      <c r="C297" s="1" t="n">
        <v>45757</v>
      </c>
      <c r="D297" t="inlineStr">
        <is>
          <t>KRONOBERGS LÄN</t>
        </is>
      </c>
      <c r="E297" t="inlineStr">
        <is>
          <t>ALVESTA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53553-2020</t>
        </is>
      </c>
      <c r="B298" s="1" t="n">
        <v>44124</v>
      </c>
      <c r="C298" s="1" t="n">
        <v>45757</v>
      </c>
      <c r="D298" t="inlineStr">
        <is>
          <t>KRONOBERGS LÄN</t>
        </is>
      </c>
      <c r="E298" t="inlineStr">
        <is>
          <t>ALVESTA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53547-2020</t>
        </is>
      </c>
      <c r="B299" s="1" t="n">
        <v>44124</v>
      </c>
      <c r="C299" s="1" t="n">
        <v>45757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53546-2020</t>
        </is>
      </c>
      <c r="B300" s="1" t="n">
        <v>44124</v>
      </c>
      <c r="C300" s="1" t="n">
        <v>45757</v>
      </c>
      <c r="D300" t="inlineStr">
        <is>
          <t>KRONOBERGS LÄN</t>
        </is>
      </c>
      <c r="E300" t="inlineStr">
        <is>
          <t>ALVESTA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54146-2020</t>
        </is>
      </c>
      <c r="B301" s="1" t="n">
        <v>44125</v>
      </c>
      <c r="C301" s="1" t="n">
        <v>45757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56396-2020</t>
        </is>
      </c>
      <c r="B302" s="1" t="n">
        <v>44137</v>
      </c>
      <c r="C302" s="1" t="n">
        <v>45757</v>
      </c>
      <c r="D302" t="inlineStr">
        <is>
          <t>KRONOBERGS LÄN</t>
        </is>
      </c>
      <c r="E302" t="inlineStr">
        <is>
          <t>ALVESTA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57870-2020</t>
        </is>
      </c>
      <c r="B303" s="1" t="n">
        <v>44141</v>
      </c>
      <c r="C303" s="1" t="n">
        <v>45757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57853-2020</t>
        </is>
      </c>
      <c r="B304" s="1" t="n">
        <v>44141</v>
      </c>
      <c r="C304" s="1" t="n">
        <v>45757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58059-2020</t>
        </is>
      </c>
      <c r="B305" s="1" t="n">
        <v>44144</v>
      </c>
      <c r="C305" s="1" t="n">
        <v>45757</v>
      </c>
      <c r="D305" t="inlineStr">
        <is>
          <t>KRONOBERGS LÄN</t>
        </is>
      </c>
      <c r="E305" t="inlineStr">
        <is>
          <t>ALVESTA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59178-2020</t>
        </is>
      </c>
      <c r="B306" s="1" t="n">
        <v>44147</v>
      </c>
      <c r="C306" s="1" t="n">
        <v>45757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59688-2020</t>
        </is>
      </c>
      <c r="B307" s="1" t="n">
        <v>44151</v>
      </c>
      <c r="C307" s="1" t="n">
        <v>45757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59681-2020</t>
        </is>
      </c>
      <c r="B308" s="1" t="n">
        <v>44151</v>
      </c>
      <c r="C308" s="1" t="n">
        <v>45757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60655-2020</t>
        </is>
      </c>
      <c r="B309" s="1" t="n">
        <v>44153</v>
      </c>
      <c r="C309" s="1" t="n">
        <v>45757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62419-2020</t>
        </is>
      </c>
      <c r="B310" s="1" t="n">
        <v>44159</v>
      </c>
      <c r="C310" s="1" t="n">
        <v>45757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62427-2020</t>
        </is>
      </c>
      <c r="B311" s="1" t="n">
        <v>44159</v>
      </c>
      <c r="C311" s="1" t="n">
        <v>45757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63355-2020</t>
        </is>
      </c>
      <c r="B312" s="1" t="n">
        <v>44165</v>
      </c>
      <c r="C312" s="1" t="n">
        <v>45757</v>
      </c>
      <c r="D312" t="inlineStr">
        <is>
          <t>KRONOBERGS LÄN</t>
        </is>
      </c>
      <c r="E312" t="inlineStr">
        <is>
          <t>ALVESTA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63381-2020</t>
        </is>
      </c>
      <c r="B313" s="1" t="n">
        <v>44165</v>
      </c>
      <c r="C313" s="1" t="n">
        <v>45757</v>
      </c>
      <c r="D313" t="inlineStr">
        <is>
          <t>KRONOBERGS LÄN</t>
        </is>
      </c>
      <c r="E313" t="inlineStr">
        <is>
          <t>ALVESTA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63386-2020</t>
        </is>
      </c>
      <c r="B314" s="1" t="n">
        <v>44165</v>
      </c>
      <c r="C314" s="1" t="n">
        <v>45757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65213-2020</t>
        </is>
      </c>
      <c r="B315" s="1" t="n">
        <v>44172</v>
      </c>
      <c r="C315" s="1" t="n">
        <v>45757</v>
      </c>
      <c r="D315" t="inlineStr">
        <is>
          <t>KRONOBERGS LÄN</t>
        </is>
      </c>
      <c r="E315" t="inlineStr">
        <is>
          <t>ALVESTA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65798-2020</t>
        </is>
      </c>
      <c r="B316" s="1" t="n">
        <v>44174</v>
      </c>
      <c r="C316" s="1" t="n">
        <v>45757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65875-2020</t>
        </is>
      </c>
      <c r="B317" s="1" t="n">
        <v>44174</v>
      </c>
      <c r="C317" s="1" t="n">
        <v>45757</v>
      </c>
      <c r="D317" t="inlineStr">
        <is>
          <t>KRONOBERGS LÄN</t>
        </is>
      </c>
      <c r="E317" t="inlineStr">
        <is>
          <t>ALVESTA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66026-2020</t>
        </is>
      </c>
      <c r="B318" s="1" t="n">
        <v>44175</v>
      </c>
      <c r="C318" s="1" t="n">
        <v>45757</v>
      </c>
      <c r="D318" t="inlineStr">
        <is>
          <t>KRONOBERGS LÄN</t>
        </is>
      </c>
      <c r="E318" t="inlineStr">
        <is>
          <t>ALVESTA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66029-2020</t>
        </is>
      </c>
      <c r="B319" s="1" t="n">
        <v>44175</v>
      </c>
      <c r="C319" s="1" t="n">
        <v>45757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67927-2020</t>
        </is>
      </c>
      <c r="B320" s="1" t="n">
        <v>44182</v>
      </c>
      <c r="C320" s="1" t="n">
        <v>45757</v>
      </c>
      <c r="D320" t="inlineStr">
        <is>
          <t>KRONOBERGS LÄN</t>
        </is>
      </c>
      <c r="E320" t="inlineStr">
        <is>
          <t>ALVESTA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68343-2020</t>
        </is>
      </c>
      <c r="B321" s="1" t="n">
        <v>44186</v>
      </c>
      <c r="C321" s="1" t="n">
        <v>45757</v>
      </c>
      <c r="D321" t="inlineStr">
        <is>
          <t>KRONOBERGS LÄN</t>
        </is>
      </c>
      <c r="E321" t="inlineStr">
        <is>
          <t>ALVESTA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68541-2020</t>
        </is>
      </c>
      <c r="B322" s="1" t="n">
        <v>44186</v>
      </c>
      <c r="C322" s="1" t="n">
        <v>45757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69127-2020</t>
        </is>
      </c>
      <c r="B323" s="1" t="n">
        <v>44188</v>
      </c>
      <c r="C323" s="1" t="n">
        <v>45757</v>
      </c>
      <c r="D323" t="inlineStr">
        <is>
          <t>KRONOBERGS LÄN</t>
        </is>
      </c>
      <c r="E323" t="inlineStr">
        <is>
          <t>ALVESTA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165-2021</t>
        </is>
      </c>
      <c r="B324" s="1" t="n">
        <v>44200</v>
      </c>
      <c r="C324" s="1" t="n">
        <v>45757</v>
      </c>
      <c r="D324" t="inlineStr">
        <is>
          <t>KRONOBERGS LÄN</t>
        </is>
      </c>
      <c r="E324" t="inlineStr">
        <is>
          <t>ALVESTA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186-2021</t>
        </is>
      </c>
      <c r="B325" s="1" t="n">
        <v>44200</v>
      </c>
      <c r="C325" s="1" t="n">
        <v>45757</v>
      </c>
      <c r="D325" t="inlineStr">
        <is>
          <t>KRONOBERGS LÄN</t>
        </is>
      </c>
      <c r="E325" t="inlineStr">
        <is>
          <t>ALVESTA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926-2021</t>
        </is>
      </c>
      <c r="B326" s="1" t="n">
        <v>44207</v>
      </c>
      <c r="C326" s="1" t="n">
        <v>45757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1981-2021</t>
        </is>
      </c>
      <c r="B327" s="1" t="n">
        <v>44210</v>
      </c>
      <c r="C327" s="1" t="n">
        <v>45757</v>
      </c>
      <c r="D327" t="inlineStr">
        <is>
          <t>KRONOBERGS LÄN</t>
        </is>
      </c>
      <c r="E327" t="inlineStr">
        <is>
          <t>ALVESTA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2146-2021</t>
        </is>
      </c>
      <c r="B328" s="1" t="n">
        <v>44211</v>
      </c>
      <c r="C328" s="1" t="n">
        <v>45757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2906-2021</t>
        </is>
      </c>
      <c r="B329" s="1" t="n">
        <v>44216</v>
      </c>
      <c r="C329" s="1" t="n">
        <v>45757</v>
      </c>
      <c r="D329" t="inlineStr">
        <is>
          <t>KRONOBERGS LÄN</t>
        </is>
      </c>
      <c r="E329" t="inlineStr">
        <is>
          <t>ALVESTA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3083-2021</t>
        </is>
      </c>
      <c r="B330" s="1" t="n">
        <v>44216</v>
      </c>
      <c r="C330" s="1" t="n">
        <v>45757</v>
      </c>
      <c r="D330" t="inlineStr">
        <is>
          <t>KRONOBERGS LÄN</t>
        </is>
      </c>
      <c r="E330" t="inlineStr">
        <is>
          <t>ALVESTA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3819-2021</t>
        </is>
      </c>
      <c r="B331" s="1" t="n">
        <v>44222</v>
      </c>
      <c r="C331" s="1" t="n">
        <v>45757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6052-2021</t>
        </is>
      </c>
      <c r="B332" s="1" t="n">
        <v>44232</v>
      </c>
      <c r="C332" s="1" t="n">
        <v>45757</v>
      </c>
      <c r="D332" t="inlineStr">
        <is>
          <t>KRONOBERGS LÄN</t>
        </is>
      </c>
      <c r="E332" t="inlineStr">
        <is>
          <t>ALVESTA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6670-2021</t>
        </is>
      </c>
      <c r="B333" s="1" t="n">
        <v>44236</v>
      </c>
      <c r="C333" s="1" t="n">
        <v>45757</v>
      </c>
      <c r="D333" t="inlineStr">
        <is>
          <t>KRONOBERGS LÄN</t>
        </is>
      </c>
      <c r="E333" t="inlineStr">
        <is>
          <t>ALVESTA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6662-2021</t>
        </is>
      </c>
      <c r="B334" s="1" t="n">
        <v>44236</v>
      </c>
      <c r="C334" s="1" t="n">
        <v>45757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7343-2021</t>
        </is>
      </c>
      <c r="B335" s="1" t="n">
        <v>44238</v>
      </c>
      <c r="C335" s="1" t="n">
        <v>45757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7465-2021</t>
        </is>
      </c>
      <c r="B336" s="1" t="n">
        <v>44239</v>
      </c>
      <c r="C336" s="1" t="n">
        <v>45757</v>
      </c>
      <c r="D336" t="inlineStr">
        <is>
          <t>KRONOBERGS LÄN</t>
        </is>
      </c>
      <c r="E336" t="inlineStr">
        <is>
          <t>ALVESTA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8094-2021</t>
        </is>
      </c>
      <c r="B337" s="1" t="n">
        <v>44243</v>
      </c>
      <c r="C337" s="1" t="n">
        <v>45757</v>
      </c>
      <c r="D337" t="inlineStr">
        <is>
          <t>KRONOBERGS LÄN</t>
        </is>
      </c>
      <c r="E337" t="inlineStr">
        <is>
          <t>ALVESTA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7949-2021</t>
        </is>
      </c>
      <c r="B338" s="1" t="n">
        <v>44243</v>
      </c>
      <c r="C338" s="1" t="n">
        <v>45757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8929-2021</t>
        </is>
      </c>
      <c r="B339" s="1" t="n">
        <v>44249</v>
      </c>
      <c r="C339" s="1" t="n">
        <v>45757</v>
      </c>
      <c r="D339" t="inlineStr">
        <is>
          <t>KRONOBERGS LÄN</t>
        </is>
      </c>
      <c r="E339" t="inlineStr">
        <is>
          <t>ALVESTA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9644-2021</t>
        </is>
      </c>
      <c r="B340" s="1" t="n">
        <v>44252</v>
      </c>
      <c r="C340" s="1" t="n">
        <v>45757</v>
      </c>
      <c r="D340" t="inlineStr">
        <is>
          <t>KRONOBERGS LÄN</t>
        </is>
      </c>
      <c r="E340" t="inlineStr">
        <is>
          <t>ALVESTA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10272-2021</t>
        </is>
      </c>
      <c r="B341" s="1" t="n">
        <v>44256</v>
      </c>
      <c r="C341" s="1" t="n">
        <v>45757</v>
      </c>
      <c r="D341" t="inlineStr">
        <is>
          <t>KRONOBERGS LÄN</t>
        </is>
      </c>
      <c r="E341" t="inlineStr">
        <is>
          <t>ALVESTA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10273-2021</t>
        </is>
      </c>
      <c r="B342" s="1" t="n">
        <v>44256</v>
      </c>
      <c r="C342" s="1" t="n">
        <v>45757</v>
      </c>
      <c r="D342" t="inlineStr">
        <is>
          <t>KRONOBERGS LÄN</t>
        </is>
      </c>
      <c r="E342" t="inlineStr">
        <is>
          <t>ALVESTA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10319-2021</t>
        </is>
      </c>
      <c r="B343" s="1" t="n">
        <v>44257</v>
      </c>
      <c r="C343" s="1" t="n">
        <v>45757</v>
      </c>
      <c r="D343" t="inlineStr">
        <is>
          <t>KRONOBERGS LÄN</t>
        </is>
      </c>
      <c r="E343" t="inlineStr">
        <is>
          <t>ALVESTA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10428-2021</t>
        </is>
      </c>
      <c r="B344" s="1" t="n">
        <v>44257</v>
      </c>
      <c r="C344" s="1" t="n">
        <v>45757</v>
      </c>
      <c r="D344" t="inlineStr">
        <is>
          <t>KRONOBERGS LÄN</t>
        </is>
      </c>
      <c r="E344" t="inlineStr">
        <is>
          <t>ALVESTA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11547-2021</t>
        </is>
      </c>
      <c r="B345" s="1" t="n">
        <v>44264</v>
      </c>
      <c r="C345" s="1" t="n">
        <v>45757</v>
      </c>
      <c r="D345" t="inlineStr">
        <is>
          <t>KRONOBERGS LÄN</t>
        </is>
      </c>
      <c r="E345" t="inlineStr">
        <is>
          <t>ALVESTA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12838-2021</t>
        </is>
      </c>
      <c r="B346" s="1" t="n">
        <v>44271</v>
      </c>
      <c r="C346" s="1" t="n">
        <v>45757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16313-2021</t>
        </is>
      </c>
      <c r="B347" s="1" t="n">
        <v>44292</v>
      </c>
      <c r="C347" s="1" t="n">
        <v>45757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16399-2021</t>
        </is>
      </c>
      <c r="B348" s="1" t="n">
        <v>44293</v>
      </c>
      <c r="C348" s="1" t="n">
        <v>45757</v>
      </c>
      <c r="D348" t="inlineStr">
        <is>
          <t>KRONOBERGS LÄN</t>
        </is>
      </c>
      <c r="E348" t="inlineStr">
        <is>
          <t>ALVESTA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16965-2021</t>
        </is>
      </c>
      <c r="B349" s="1" t="n">
        <v>44295</v>
      </c>
      <c r="C349" s="1" t="n">
        <v>45757</v>
      </c>
      <c r="D349" t="inlineStr">
        <is>
          <t>KRONOBERGS LÄN</t>
        </is>
      </c>
      <c r="E349" t="inlineStr">
        <is>
          <t>ALVESTA</t>
        </is>
      </c>
      <c r="G349" t="n">
        <v>21.8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16800-2021</t>
        </is>
      </c>
      <c r="B350" s="1" t="n">
        <v>44295</v>
      </c>
      <c r="C350" s="1" t="n">
        <v>45757</v>
      </c>
      <c r="D350" t="inlineStr">
        <is>
          <t>KRONOBERGS LÄN</t>
        </is>
      </c>
      <c r="E350" t="inlineStr">
        <is>
          <t>ALVESTA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18568-2021</t>
        </is>
      </c>
      <c r="B351" s="1" t="n">
        <v>44305</v>
      </c>
      <c r="C351" s="1" t="n">
        <v>45757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18632-2021</t>
        </is>
      </c>
      <c r="B352" s="1" t="n">
        <v>44306</v>
      </c>
      <c r="C352" s="1" t="n">
        <v>45757</v>
      </c>
      <c r="D352" t="inlineStr">
        <is>
          <t>KRONOBERGS LÄN</t>
        </is>
      </c>
      <c r="E352" t="inlineStr">
        <is>
          <t>ALVESTA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18605-2021</t>
        </is>
      </c>
      <c r="B353" s="1" t="n">
        <v>44306</v>
      </c>
      <c r="C353" s="1" t="n">
        <v>45757</v>
      </c>
      <c r="D353" t="inlineStr">
        <is>
          <t>KRONOBERGS LÄN</t>
        </is>
      </c>
      <c r="E353" t="inlineStr">
        <is>
          <t>ALVESTA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18639-2021</t>
        </is>
      </c>
      <c r="B354" s="1" t="n">
        <v>44306</v>
      </c>
      <c r="C354" s="1" t="n">
        <v>45757</v>
      </c>
      <c r="D354" t="inlineStr">
        <is>
          <t>KRONOBERGS LÄN</t>
        </is>
      </c>
      <c r="E354" t="inlineStr">
        <is>
          <t>ALVESTA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18822-2021</t>
        </is>
      </c>
      <c r="B355" s="1" t="n">
        <v>44307</v>
      </c>
      <c r="C355" s="1" t="n">
        <v>45757</v>
      </c>
      <c r="D355" t="inlineStr">
        <is>
          <t>KRONOBERGS LÄN</t>
        </is>
      </c>
      <c r="E355" t="inlineStr">
        <is>
          <t>ALVESTA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19330-2021</t>
        </is>
      </c>
      <c r="B356" s="1" t="n">
        <v>44309</v>
      </c>
      <c r="C356" s="1" t="n">
        <v>45757</v>
      </c>
      <c r="D356" t="inlineStr">
        <is>
          <t>KRONOBERGS LÄN</t>
        </is>
      </c>
      <c r="E356" t="inlineStr">
        <is>
          <t>ALVESTA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19336-2021</t>
        </is>
      </c>
      <c r="B357" s="1" t="n">
        <v>44309</v>
      </c>
      <c r="C357" s="1" t="n">
        <v>45757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19907-2021</t>
        </is>
      </c>
      <c r="B358" s="1" t="n">
        <v>44313</v>
      </c>
      <c r="C358" s="1" t="n">
        <v>45757</v>
      </c>
      <c r="D358" t="inlineStr">
        <is>
          <t>KRONOBERGS LÄN</t>
        </is>
      </c>
      <c r="E358" t="inlineStr">
        <is>
          <t>ALVESTA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20028-2021</t>
        </is>
      </c>
      <c r="B359" s="1" t="n">
        <v>44313</v>
      </c>
      <c r="C359" s="1" t="n">
        <v>45757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21173-2021</t>
        </is>
      </c>
      <c r="B360" s="1" t="n">
        <v>44320</v>
      </c>
      <c r="C360" s="1" t="n">
        <v>45757</v>
      </c>
      <c r="D360" t="inlineStr">
        <is>
          <t>KRONOBERGS LÄN</t>
        </is>
      </c>
      <c r="E360" t="inlineStr">
        <is>
          <t>ALVESTA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22085-2021</t>
        </is>
      </c>
      <c r="B361" s="1" t="n">
        <v>44323</v>
      </c>
      <c r="C361" s="1" t="n">
        <v>45757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22735-2021</t>
        </is>
      </c>
      <c r="B362" s="1" t="n">
        <v>44323</v>
      </c>
      <c r="C362" s="1" t="n">
        <v>45757</v>
      </c>
      <c r="D362" t="inlineStr">
        <is>
          <t>KRONOBERGS LÄN</t>
        </is>
      </c>
      <c r="E362" t="inlineStr">
        <is>
          <t>ALVESTA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22218-2021</t>
        </is>
      </c>
      <c r="B363" s="1" t="n">
        <v>44326</v>
      </c>
      <c r="C363" s="1" t="n">
        <v>45757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22857-2021</t>
        </is>
      </c>
      <c r="B364" s="1" t="n">
        <v>44328</v>
      </c>
      <c r="C364" s="1" t="n">
        <v>45757</v>
      </c>
      <c r="D364" t="inlineStr">
        <is>
          <t>KRONOBERGS LÄN</t>
        </is>
      </c>
      <c r="E364" t="inlineStr">
        <is>
          <t>ALVESTA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23852-2021</t>
        </is>
      </c>
      <c r="B365" s="1" t="n">
        <v>44335</v>
      </c>
      <c r="C365" s="1" t="n">
        <v>45757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24090-2021</t>
        </is>
      </c>
      <c r="B366" s="1" t="n">
        <v>44336</v>
      </c>
      <c r="C366" s="1" t="n">
        <v>45757</v>
      </c>
      <c r="D366" t="inlineStr">
        <is>
          <t>KRONOBERGS LÄN</t>
        </is>
      </c>
      <c r="E366" t="inlineStr">
        <is>
          <t>ALVESTA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24091-2021</t>
        </is>
      </c>
      <c r="B367" s="1" t="n">
        <v>44336</v>
      </c>
      <c r="C367" s="1" t="n">
        <v>45757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24806-2021</t>
        </is>
      </c>
      <c r="B368" s="1" t="n">
        <v>44340</v>
      </c>
      <c r="C368" s="1" t="n">
        <v>45757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27342-2021</t>
        </is>
      </c>
      <c r="B369" s="1" t="n">
        <v>44351</v>
      </c>
      <c r="C369" s="1" t="n">
        <v>45757</v>
      </c>
      <c r="D369" t="inlineStr">
        <is>
          <t>KRONOBERGS LÄN</t>
        </is>
      </c>
      <c r="E369" t="inlineStr">
        <is>
          <t>ALVESTA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27336-2021</t>
        </is>
      </c>
      <c r="B370" s="1" t="n">
        <v>44351</v>
      </c>
      <c r="C370" s="1" t="n">
        <v>45757</v>
      </c>
      <c r="D370" t="inlineStr">
        <is>
          <t>KRONOBERGS LÄN</t>
        </is>
      </c>
      <c r="E370" t="inlineStr">
        <is>
          <t>ALVESTA</t>
        </is>
      </c>
      <c r="G370" t="n">
        <v>13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27758-2021</t>
        </is>
      </c>
      <c r="B371" s="1" t="n">
        <v>44354</v>
      </c>
      <c r="C371" s="1" t="n">
        <v>45757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29837-2021</t>
        </is>
      </c>
      <c r="B372" s="1" t="n">
        <v>44362</v>
      </c>
      <c r="C372" s="1" t="n">
        <v>45757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30214-2021</t>
        </is>
      </c>
      <c r="B373" s="1" t="n">
        <v>44363</v>
      </c>
      <c r="C373" s="1" t="n">
        <v>45757</v>
      </c>
      <c r="D373" t="inlineStr">
        <is>
          <t>KRONOBERGS LÄN</t>
        </is>
      </c>
      <c r="E373" t="inlineStr">
        <is>
          <t>ALVESTA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30552-2021</t>
        </is>
      </c>
      <c r="B374" s="1" t="n">
        <v>44364</v>
      </c>
      <c r="C374" s="1" t="n">
        <v>45757</v>
      </c>
      <c r="D374" t="inlineStr">
        <is>
          <t>KRONOBERGS LÄN</t>
        </is>
      </c>
      <c r="E374" t="inlineStr">
        <is>
          <t>ALVESTA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30756-2021</t>
        </is>
      </c>
      <c r="B375" s="1" t="n">
        <v>44365</v>
      </c>
      <c r="C375" s="1" t="n">
        <v>45757</v>
      </c>
      <c r="D375" t="inlineStr">
        <is>
          <t>KRONOBERGS LÄN</t>
        </is>
      </c>
      <c r="E375" t="inlineStr">
        <is>
          <t>ALVESTA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31582-2021</t>
        </is>
      </c>
      <c r="B376" s="1" t="n">
        <v>44369</v>
      </c>
      <c r="C376" s="1" t="n">
        <v>45757</v>
      </c>
      <c r="D376" t="inlineStr">
        <is>
          <t>KRONOBERGS LÄN</t>
        </is>
      </c>
      <c r="E376" t="inlineStr">
        <is>
          <t>ALVESTA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34478-2021</t>
        </is>
      </c>
      <c r="B377" s="1" t="n">
        <v>44382</v>
      </c>
      <c r="C377" s="1" t="n">
        <v>45757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35375-2021</t>
        </is>
      </c>
      <c r="B378" s="1" t="n">
        <v>44385</v>
      </c>
      <c r="C378" s="1" t="n">
        <v>45757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35377-2021</t>
        </is>
      </c>
      <c r="B379" s="1" t="n">
        <v>44385</v>
      </c>
      <c r="C379" s="1" t="n">
        <v>45757</v>
      </c>
      <c r="D379" t="inlineStr">
        <is>
          <t>KRONOBERGS LÄN</t>
        </is>
      </c>
      <c r="E379" t="inlineStr">
        <is>
          <t>ALVESTA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35679-2021</t>
        </is>
      </c>
      <c r="B380" s="1" t="n">
        <v>44386</v>
      </c>
      <c r="C380" s="1" t="n">
        <v>45757</v>
      </c>
      <c r="D380" t="inlineStr">
        <is>
          <t>KRONOBERGS LÄN</t>
        </is>
      </c>
      <c r="E380" t="inlineStr">
        <is>
          <t>ALVESTA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36433-2021</t>
        </is>
      </c>
      <c r="B381" s="1" t="n">
        <v>44390</v>
      </c>
      <c r="C381" s="1" t="n">
        <v>45757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37599-2021</t>
        </is>
      </c>
      <c r="B382" s="1" t="n">
        <v>44399</v>
      </c>
      <c r="C382" s="1" t="n">
        <v>45757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37788-2021</t>
        </is>
      </c>
      <c r="B383" s="1" t="n">
        <v>44401</v>
      </c>
      <c r="C383" s="1" t="n">
        <v>45757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38047-2021</t>
        </is>
      </c>
      <c r="B384" s="1" t="n">
        <v>44404</v>
      </c>
      <c r="C384" s="1" t="n">
        <v>45757</v>
      </c>
      <c r="D384" t="inlineStr">
        <is>
          <t>KRONOBERGS LÄN</t>
        </is>
      </c>
      <c r="E384" t="inlineStr">
        <is>
          <t>ALVESTA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38993-2021</t>
        </is>
      </c>
      <c r="B385" s="1" t="n">
        <v>44412</v>
      </c>
      <c r="C385" s="1" t="n">
        <v>45757</v>
      </c>
      <c r="D385" t="inlineStr">
        <is>
          <t>KRONOBERGS LÄN</t>
        </is>
      </c>
      <c r="E385" t="inlineStr">
        <is>
          <t>ALVESTA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38997-2021</t>
        </is>
      </c>
      <c r="B386" s="1" t="n">
        <v>44412</v>
      </c>
      <c r="C386" s="1" t="n">
        <v>45757</v>
      </c>
      <c r="D386" t="inlineStr">
        <is>
          <t>KRONOBERGS LÄN</t>
        </is>
      </c>
      <c r="E386" t="inlineStr">
        <is>
          <t>ALVESTA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39474-2021</t>
        </is>
      </c>
      <c r="B387" s="1" t="n">
        <v>44414</v>
      </c>
      <c r="C387" s="1" t="n">
        <v>45757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40155-2021</t>
        </is>
      </c>
      <c r="B388" s="1" t="n">
        <v>44418</v>
      </c>
      <c r="C388" s="1" t="n">
        <v>45757</v>
      </c>
      <c r="D388" t="inlineStr">
        <is>
          <t>KRONOBERGS LÄN</t>
        </is>
      </c>
      <c r="E388" t="inlineStr">
        <is>
          <t>ALVESTA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40304-2021</t>
        </is>
      </c>
      <c r="B389" s="1" t="n">
        <v>44419</v>
      </c>
      <c r="C389" s="1" t="n">
        <v>45757</v>
      </c>
      <c r="D389" t="inlineStr">
        <is>
          <t>KRONOBERGS LÄN</t>
        </is>
      </c>
      <c r="E389" t="inlineStr">
        <is>
          <t>ALVESTA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40300-2021</t>
        </is>
      </c>
      <c r="B390" s="1" t="n">
        <v>44419</v>
      </c>
      <c r="C390" s="1" t="n">
        <v>45757</v>
      </c>
      <c r="D390" t="inlineStr">
        <is>
          <t>KRONOBERGS LÄN</t>
        </is>
      </c>
      <c r="E390" t="inlineStr">
        <is>
          <t>ALVESTA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40580-2021</t>
        </is>
      </c>
      <c r="B391" s="1" t="n">
        <v>44420</v>
      </c>
      <c r="C391" s="1" t="n">
        <v>45757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41175-2021</t>
        </is>
      </c>
      <c r="B392" s="1" t="n">
        <v>44424</v>
      </c>
      <c r="C392" s="1" t="n">
        <v>45757</v>
      </c>
      <c r="D392" t="inlineStr">
        <is>
          <t>KRONOBERGS LÄN</t>
        </is>
      </c>
      <c r="E392" t="inlineStr">
        <is>
          <t>ALVESTA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42911-2021</t>
        </is>
      </c>
      <c r="B393" s="1" t="n">
        <v>44431</v>
      </c>
      <c r="C393" s="1" t="n">
        <v>45757</v>
      </c>
      <c r="D393" t="inlineStr">
        <is>
          <t>KRONOBERGS LÄN</t>
        </is>
      </c>
      <c r="E393" t="inlineStr">
        <is>
          <t>ALVESTA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43933-2021</t>
        </is>
      </c>
      <c r="B394" s="1" t="n">
        <v>44434</v>
      </c>
      <c r="C394" s="1" t="n">
        <v>45757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43932-2021</t>
        </is>
      </c>
      <c r="B395" s="1" t="n">
        <v>44434</v>
      </c>
      <c r="C395" s="1" t="n">
        <v>45757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43929-2021</t>
        </is>
      </c>
      <c r="B396" s="1" t="n">
        <v>44434</v>
      </c>
      <c r="C396" s="1" t="n">
        <v>45757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44105-2021</t>
        </is>
      </c>
      <c r="B397" s="1" t="n">
        <v>44434</v>
      </c>
      <c r="C397" s="1" t="n">
        <v>45757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44222-2021</t>
        </is>
      </c>
      <c r="B398" s="1" t="n">
        <v>44434</v>
      </c>
      <c r="C398" s="1" t="n">
        <v>45757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44093-2021</t>
        </is>
      </c>
      <c r="B399" s="1" t="n">
        <v>44434</v>
      </c>
      <c r="C399" s="1" t="n">
        <v>45757</v>
      </c>
      <c r="D399" t="inlineStr">
        <is>
          <t>KRONOBERGS LÄN</t>
        </is>
      </c>
      <c r="E399" t="inlineStr">
        <is>
          <t>ALVESTA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44487-2021</t>
        </is>
      </c>
      <c r="B400" s="1" t="n">
        <v>44435</v>
      </c>
      <c r="C400" s="1" t="n">
        <v>45757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44831-2021</t>
        </is>
      </c>
      <c r="B401" s="1" t="n">
        <v>44438</v>
      </c>
      <c r="C401" s="1" t="n">
        <v>45757</v>
      </c>
      <c r="D401" t="inlineStr">
        <is>
          <t>KRONOBERGS LÄN</t>
        </is>
      </c>
      <c r="E401" t="inlineStr">
        <is>
          <t>ALVESTA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44901-2021</t>
        </is>
      </c>
      <c r="B402" s="1" t="n">
        <v>44438</v>
      </c>
      <c r="C402" s="1" t="n">
        <v>45757</v>
      </c>
      <c r="D402" t="inlineStr">
        <is>
          <t>KRONOBERGS LÄN</t>
        </is>
      </c>
      <c r="E402" t="inlineStr">
        <is>
          <t>ALVESTA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45754-2021</t>
        </is>
      </c>
      <c r="B403" s="1" t="n">
        <v>44441</v>
      </c>
      <c r="C403" s="1" t="n">
        <v>45757</v>
      </c>
      <c r="D403" t="inlineStr">
        <is>
          <t>KRONOBERGS LÄN</t>
        </is>
      </c>
      <c r="E403" t="inlineStr">
        <is>
          <t>ALVESTA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46348-2021</t>
        </is>
      </c>
      <c r="B404" s="1" t="n">
        <v>44442</v>
      </c>
      <c r="C404" s="1" t="n">
        <v>45757</v>
      </c>
      <c r="D404" t="inlineStr">
        <is>
          <t>KRONOBERGS LÄN</t>
        </is>
      </c>
      <c r="E404" t="inlineStr">
        <is>
          <t>ALVESTA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46353-2021</t>
        </is>
      </c>
      <c r="B405" s="1" t="n">
        <v>44442</v>
      </c>
      <c r="C405" s="1" t="n">
        <v>45757</v>
      </c>
      <c r="D405" t="inlineStr">
        <is>
          <t>KRONOBERGS LÄN</t>
        </is>
      </c>
      <c r="E405" t="inlineStr">
        <is>
          <t>ALVESTA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46344-2021</t>
        </is>
      </c>
      <c r="B406" s="1" t="n">
        <v>44442</v>
      </c>
      <c r="C406" s="1" t="n">
        <v>45757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46354-2021</t>
        </is>
      </c>
      <c r="B407" s="1" t="n">
        <v>44442</v>
      </c>
      <c r="C407" s="1" t="n">
        <v>45757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46357-2021</t>
        </is>
      </c>
      <c r="B408" s="1" t="n">
        <v>44442</v>
      </c>
      <c r="C408" s="1" t="n">
        <v>45757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46451-2021</t>
        </is>
      </c>
      <c r="B409" s="1" t="n">
        <v>44445</v>
      </c>
      <c r="C409" s="1" t="n">
        <v>45757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46518-2021</t>
        </is>
      </c>
      <c r="B410" s="1" t="n">
        <v>44445</v>
      </c>
      <c r="C410" s="1" t="n">
        <v>45757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46448-2021</t>
        </is>
      </c>
      <c r="B411" s="1" t="n">
        <v>44445</v>
      </c>
      <c r="C411" s="1" t="n">
        <v>45757</v>
      </c>
      <c r="D411" t="inlineStr">
        <is>
          <t>KRONOBERGS LÄN</t>
        </is>
      </c>
      <c r="E411" t="inlineStr">
        <is>
          <t>ALVESTA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46816-2021</t>
        </is>
      </c>
      <c r="B412" s="1" t="n">
        <v>44446</v>
      </c>
      <c r="C412" s="1" t="n">
        <v>45757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47383-2021</t>
        </is>
      </c>
      <c r="B413" s="1" t="n">
        <v>44447</v>
      </c>
      <c r="C413" s="1" t="n">
        <v>45757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47890-2021</t>
        </is>
      </c>
      <c r="B414" s="1" t="n">
        <v>44448</v>
      </c>
      <c r="C414" s="1" t="n">
        <v>45757</v>
      </c>
      <c r="D414" t="inlineStr">
        <is>
          <t>KRONOBERGS LÄN</t>
        </is>
      </c>
      <c r="E414" t="inlineStr">
        <is>
          <t>ALVESTA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49424-2021</t>
        </is>
      </c>
      <c r="B415" s="1" t="n">
        <v>44454</v>
      </c>
      <c r="C415" s="1" t="n">
        <v>45757</v>
      </c>
      <c r="D415" t="inlineStr">
        <is>
          <t>KRONOBERGS LÄN</t>
        </is>
      </c>
      <c r="E415" t="inlineStr">
        <is>
          <t>ALVESTA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49463-2021</t>
        </is>
      </c>
      <c r="B416" s="1" t="n">
        <v>44454</v>
      </c>
      <c r="C416" s="1" t="n">
        <v>45757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49400-2021</t>
        </is>
      </c>
      <c r="B417" s="1" t="n">
        <v>44454</v>
      </c>
      <c r="C417" s="1" t="n">
        <v>45757</v>
      </c>
      <c r="D417" t="inlineStr">
        <is>
          <t>KRONOBERGS LÄN</t>
        </is>
      </c>
      <c r="E417" t="inlineStr">
        <is>
          <t>ALVESTA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49430-2021</t>
        </is>
      </c>
      <c r="B418" s="1" t="n">
        <v>44454</v>
      </c>
      <c r="C418" s="1" t="n">
        <v>45757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49542-2021</t>
        </is>
      </c>
      <c r="B419" s="1" t="n">
        <v>44455</v>
      </c>
      <c r="C419" s="1" t="n">
        <v>45757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49530-2021</t>
        </is>
      </c>
      <c r="B420" s="1" t="n">
        <v>44455</v>
      </c>
      <c r="C420" s="1" t="n">
        <v>45757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49556-2021</t>
        </is>
      </c>
      <c r="B421" s="1" t="n">
        <v>44455</v>
      </c>
      <c r="C421" s="1" t="n">
        <v>45757</v>
      </c>
      <c r="D421" t="inlineStr">
        <is>
          <t>KRONOBERGS LÄN</t>
        </is>
      </c>
      <c r="E421" t="inlineStr">
        <is>
          <t>ALVESTA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51341-2021</t>
        </is>
      </c>
      <c r="B422" s="1" t="n">
        <v>44461</v>
      </c>
      <c r="C422" s="1" t="n">
        <v>45757</v>
      </c>
      <c r="D422" t="inlineStr">
        <is>
          <t>KRONOBERGS LÄN</t>
        </is>
      </c>
      <c r="E422" t="inlineStr">
        <is>
          <t>ALVESTA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51310-2021</t>
        </is>
      </c>
      <c r="B423" s="1" t="n">
        <v>44461</v>
      </c>
      <c r="C423" s="1" t="n">
        <v>45757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51063-2021</t>
        </is>
      </c>
      <c r="B424" s="1" t="n">
        <v>44461</v>
      </c>
      <c r="C424" s="1" t="n">
        <v>45757</v>
      </c>
      <c r="D424" t="inlineStr">
        <is>
          <t>KRONOBERGS LÄN</t>
        </is>
      </c>
      <c r="E424" t="inlineStr">
        <is>
          <t>ALVESTA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51521-2021</t>
        </is>
      </c>
      <c r="B425" s="1" t="n">
        <v>44462</v>
      </c>
      <c r="C425" s="1" t="n">
        <v>45757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53028-2021</t>
        </is>
      </c>
      <c r="B426" s="1" t="n">
        <v>44467</v>
      </c>
      <c r="C426" s="1" t="n">
        <v>45757</v>
      </c>
      <c r="D426" t="inlineStr">
        <is>
          <t>KRONOBERGS LÄN</t>
        </is>
      </c>
      <c r="E426" t="inlineStr">
        <is>
          <t>ALVESTA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53937-2021</t>
        </is>
      </c>
      <c r="B427" s="1" t="n">
        <v>44469</v>
      </c>
      <c r="C427" s="1" t="n">
        <v>45757</v>
      </c>
      <c r="D427" t="inlineStr">
        <is>
          <t>KRONOBERGS LÄN</t>
        </is>
      </c>
      <c r="E427" t="inlineStr">
        <is>
          <t>ALVESTA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56112-2021</t>
        </is>
      </c>
      <c r="B428" s="1" t="n">
        <v>44477</v>
      </c>
      <c r="C428" s="1" t="n">
        <v>45757</v>
      </c>
      <c r="D428" t="inlineStr">
        <is>
          <t>KRONOBERGS LÄN</t>
        </is>
      </c>
      <c r="E428" t="inlineStr">
        <is>
          <t>ALVESTA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56121-2021</t>
        </is>
      </c>
      <c r="B429" s="1" t="n">
        <v>44477</v>
      </c>
      <c r="C429" s="1" t="n">
        <v>45757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56552-2021</t>
        </is>
      </c>
      <c r="B430" s="1" t="n">
        <v>44480</v>
      </c>
      <c r="C430" s="1" t="n">
        <v>45757</v>
      </c>
      <c r="D430" t="inlineStr">
        <is>
          <t>KRONOBERGS LÄN</t>
        </is>
      </c>
      <c r="E430" t="inlineStr">
        <is>
          <t>ALVESTA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57987-2021</t>
        </is>
      </c>
      <c r="B431" s="1" t="n">
        <v>44487</v>
      </c>
      <c r="C431" s="1" t="n">
        <v>45757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57989-2021</t>
        </is>
      </c>
      <c r="B432" s="1" t="n">
        <v>44487</v>
      </c>
      <c r="C432" s="1" t="n">
        <v>45757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58333-2021</t>
        </is>
      </c>
      <c r="B433" s="1" t="n">
        <v>44488</v>
      </c>
      <c r="C433" s="1" t="n">
        <v>45757</v>
      </c>
      <c r="D433" t="inlineStr">
        <is>
          <t>KRONOBERGS LÄN</t>
        </is>
      </c>
      <c r="E433" t="inlineStr">
        <is>
          <t>ALVESTA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59052-2021</t>
        </is>
      </c>
      <c r="B434" s="1" t="n">
        <v>44490</v>
      </c>
      <c r="C434" s="1" t="n">
        <v>45757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59220-2021</t>
        </is>
      </c>
      <c r="B435" s="1" t="n">
        <v>44490</v>
      </c>
      <c r="C435" s="1" t="n">
        <v>45757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59233-2021</t>
        </is>
      </c>
      <c r="B436" s="1" t="n">
        <v>44490</v>
      </c>
      <c r="C436" s="1" t="n">
        <v>45757</v>
      </c>
      <c r="D436" t="inlineStr">
        <is>
          <t>KRONOBERGS LÄN</t>
        </is>
      </c>
      <c r="E436" t="inlineStr">
        <is>
          <t>ALVESTA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60202-2021</t>
        </is>
      </c>
      <c r="B437" s="1" t="n">
        <v>44495</v>
      </c>
      <c r="C437" s="1" t="n">
        <v>45757</v>
      </c>
      <c r="D437" t="inlineStr">
        <is>
          <t>KRONOBERGS LÄN</t>
        </is>
      </c>
      <c r="E437" t="inlineStr">
        <is>
          <t>ALVESTA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60613-2021</t>
        </is>
      </c>
      <c r="B438" s="1" t="n">
        <v>44495</v>
      </c>
      <c r="C438" s="1" t="n">
        <v>45757</v>
      </c>
      <c r="D438" t="inlineStr">
        <is>
          <t>KRONOBERGS LÄN</t>
        </is>
      </c>
      <c r="E438" t="inlineStr">
        <is>
          <t>ALVESTA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60485-2021</t>
        </is>
      </c>
      <c r="B439" s="1" t="n">
        <v>44496</v>
      </c>
      <c r="C439" s="1" t="n">
        <v>45757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60870-2021</t>
        </is>
      </c>
      <c r="B440" s="1" t="n">
        <v>44497</v>
      </c>
      <c r="C440" s="1" t="n">
        <v>45757</v>
      </c>
      <c r="D440" t="inlineStr">
        <is>
          <t>KRONOBERGS LÄN</t>
        </is>
      </c>
      <c r="E440" t="inlineStr">
        <is>
          <t>ALVESTA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62136-2021</t>
        </is>
      </c>
      <c r="B441" s="1" t="n">
        <v>44502</v>
      </c>
      <c r="C441" s="1" t="n">
        <v>45757</v>
      </c>
      <c r="D441" t="inlineStr">
        <is>
          <t>KRONOBERGS LÄN</t>
        </is>
      </c>
      <c r="E441" t="inlineStr">
        <is>
          <t>ALVESTA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62695-2021</t>
        </is>
      </c>
      <c r="B442" s="1" t="n">
        <v>44504</v>
      </c>
      <c r="C442" s="1" t="n">
        <v>45757</v>
      </c>
      <c r="D442" t="inlineStr">
        <is>
          <t>KRONOBERGS LÄN</t>
        </is>
      </c>
      <c r="E442" t="inlineStr">
        <is>
          <t>ALVESTA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62704-2021</t>
        </is>
      </c>
      <c r="B443" s="1" t="n">
        <v>44504</v>
      </c>
      <c r="C443" s="1" t="n">
        <v>45757</v>
      </c>
      <c r="D443" t="inlineStr">
        <is>
          <t>KRONOBERGS LÄN</t>
        </is>
      </c>
      <c r="E443" t="inlineStr">
        <is>
          <t>ALVESTA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64459-2021</t>
        </is>
      </c>
      <c r="B444" s="1" t="n">
        <v>44511</v>
      </c>
      <c r="C444" s="1" t="n">
        <v>45757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64428-2021</t>
        </is>
      </c>
      <c r="B445" s="1" t="n">
        <v>44511</v>
      </c>
      <c r="C445" s="1" t="n">
        <v>45757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64797-2021</t>
        </is>
      </c>
      <c r="B446" s="1" t="n">
        <v>44512</v>
      </c>
      <c r="C446" s="1" t="n">
        <v>45757</v>
      </c>
      <c r="D446" t="inlineStr">
        <is>
          <t>KRONOBERGS LÄN</t>
        </is>
      </c>
      <c r="E446" t="inlineStr">
        <is>
          <t>ALVESTA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64777-2021</t>
        </is>
      </c>
      <c r="B447" s="1" t="n">
        <v>44512</v>
      </c>
      <c r="C447" s="1" t="n">
        <v>45757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65372-2021</t>
        </is>
      </c>
      <c r="B448" s="1" t="n">
        <v>44515</v>
      </c>
      <c r="C448" s="1" t="n">
        <v>45757</v>
      </c>
      <c r="D448" t="inlineStr">
        <is>
          <t>KRONOBERGS LÄN</t>
        </is>
      </c>
      <c r="E448" t="inlineStr">
        <is>
          <t>ALVESTA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65371-2021</t>
        </is>
      </c>
      <c r="B449" s="1" t="n">
        <v>44515</v>
      </c>
      <c r="C449" s="1" t="n">
        <v>45757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65870-2021</t>
        </is>
      </c>
      <c r="B450" s="1" t="n">
        <v>44517</v>
      </c>
      <c r="C450" s="1" t="n">
        <v>45757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66294-2021</t>
        </is>
      </c>
      <c r="B451" s="1" t="n">
        <v>44518</v>
      </c>
      <c r="C451" s="1" t="n">
        <v>45757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67192-2021</t>
        </is>
      </c>
      <c r="B452" s="1" t="n">
        <v>44523</v>
      </c>
      <c r="C452" s="1" t="n">
        <v>45757</v>
      </c>
      <c r="D452" t="inlineStr">
        <is>
          <t>KRONOBERGS LÄN</t>
        </is>
      </c>
      <c r="E452" t="inlineStr">
        <is>
          <t>ALVESTA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67331-2021</t>
        </is>
      </c>
      <c r="B453" s="1" t="n">
        <v>44523</v>
      </c>
      <c r="C453" s="1" t="n">
        <v>45757</v>
      </c>
      <c r="D453" t="inlineStr">
        <is>
          <t>KRONOBERGS LÄN</t>
        </is>
      </c>
      <c r="E453" t="inlineStr">
        <is>
          <t>ALVESTA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67889-2021</t>
        </is>
      </c>
      <c r="B454" s="1" t="n">
        <v>44525</v>
      </c>
      <c r="C454" s="1" t="n">
        <v>45757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68228-2021</t>
        </is>
      </c>
      <c r="B455" s="1" t="n">
        <v>44526</v>
      </c>
      <c r="C455" s="1" t="n">
        <v>45757</v>
      </c>
      <c r="D455" t="inlineStr">
        <is>
          <t>KRONOBERGS LÄN</t>
        </is>
      </c>
      <c r="E455" t="inlineStr">
        <is>
          <t>ALVESTA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69006-2021</t>
        </is>
      </c>
      <c r="B456" s="1" t="n">
        <v>44530</v>
      </c>
      <c r="C456" s="1" t="n">
        <v>45757</v>
      </c>
      <c r="D456" t="inlineStr">
        <is>
          <t>KRONOBERGS LÄN</t>
        </is>
      </c>
      <c r="E456" t="inlineStr">
        <is>
          <t>ALVESTA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70869-2021</t>
        </is>
      </c>
      <c r="B457" s="1" t="n">
        <v>44538</v>
      </c>
      <c r="C457" s="1" t="n">
        <v>45757</v>
      </c>
      <c r="D457" t="inlineStr">
        <is>
          <t>KRONOBERGS LÄN</t>
        </is>
      </c>
      <c r="E457" t="inlineStr">
        <is>
          <t>ALVESTA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72318-2021</t>
        </is>
      </c>
      <c r="B458" s="1" t="n">
        <v>44545</v>
      </c>
      <c r="C458" s="1" t="n">
        <v>45757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243-2022</t>
        </is>
      </c>
      <c r="B459" s="1" t="n">
        <v>44565</v>
      </c>
      <c r="C459" s="1" t="n">
        <v>45757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760-2022</t>
        </is>
      </c>
      <c r="B460" s="1" t="n">
        <v>44569</v>
      </c>
      <c r="C460" s="1" t="n">
        <v>45757</v>
      </c>
      <c r="D460" t="inlineStr">
        <is>
          <t>KRONOBERGS LÄN</t>
        </is>
      </c>
      <c r="E460" t="inlineStr">
        <is>
          <t>ALVESTA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1398-2022</t>
        </is>
      </c>
      <c r="B461" s="1" t="n">
        <v>44573</v>
      </c>
      <c r="C461" s="1" t="n">
        <v>45757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2847-2022</t>
        </is>
      </c>
      <c r="B462" s="1" t="n">
        <v>44581</v>
      </c>
      <c r="C462" s="1" t="n">
        <v>45757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3602-2022</t>
        </is>
      </c>
      <c r="B463" s="1" t="n">
        <v>44586</v>
      </c>
      <c r="C463" s="1" t="n">
        <v>45757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4784-2022</t>
        </is>
      </c>
      <c r="B464" s="1" t="n">
        <v>44592</v>
      </c>
      <c r="C464" s="1" t="n">
        <v>45757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5003-2022</t>
        </is>
      </c>
      <c r="B465" s="1" t="n">
        <v>44593</v>
      </c>
      <c r="C465" s="1" t="n">
        <v>45757</v>
      </c>
      <c r="D465" t="inlineStr">
        <is>
          <t>KRONOBERGS LÄN</t>
        </is>
      </c>
      <c r="E465" t="inlineStr">
        <is>
          <t>ALVESTA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5916-2022</t>
        </is>
      </c>
      <c r="B466" s="1" t="n">
        <v>44597</v>
      </c>
      <c r="C466" s="1" t="n">
        <v>45757</v>
      </c>
      <c r="D466" t="inlineStr">
        <is>
          <t>KRONOBERGS LÄN</t>
        </is>
      </c>
      <c r="E466" t="inlineStr">
        <is>
          <t>ALVESTA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5917-2022</t>
        </is>
      </c>
      <c r="B467" s="1" t="n">
        <v>44597</v>
      </c>
      <c r="C467" s="1" t="n">
        <v>45757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5915-2022</t>
        </is>
      </c>
      <c r="B468" s="1" t="n">
        <v>44597</v>
      </c>
      <c r="C468" s="1" t="n">
        <v>45757</v>
      </c>
      <c r="D468" t="inlineStr">
        <is>
          <t>KRONOBERGS LÄN</t>
        </is>
      </c>
      <c r="E468" t="inlineStr">
        <is>
          <t>ALVESTA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6210-2022</t>
        </is>
      </c>
      <c r="B469" s="1" t="n">
        <v>44600</v>
      </c>
      <c r="C469" s="1" t="n">
        <v>45757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6479-2022</t>
        </is>
      </c>
      <c r="B470" s="1" t="n">
        <v>44601</v>
      </c>
      <c r="C470" s="1" t="n">
        <v>45757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6475-2022</t>
        </is>
      </c>
      <c r="B471" s="1" t="n">
        <v>44601</v>
      </c>
      <c r="C471" s="1" t="n">
        <v>45757</v>
      </c>
      <c r="D471" t="inlineStr">
        <is>
          <t>KRONOBERGS LÄN</t>
        </is>
      </c>
      <c r="E471" t="inlineStr">
        <is>
          <t>ALVESTA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6489-2022</t>
        </is>
      </c>
      <c r="B472" s="1" t="n">
        <v>44601</v>
      </c>
      <c r="C472" s="1" t="n">
        <v>45757</v>
      </c>
      <c r="D472" t="inlineStr">
        <is>
          <t>KRONOBERGS LÄN</t>
        </is>
      </c>
      <c r="E472" t="inlineStr">
        <is>
          <t>ALVESTA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7287-2022</t>
        </is>
      </c>
      <c r="B473" s="1" t="n">
        <v>44606</v>
      </c>
      <c r="C473" s="1" t="n">
        <v>45757</v>
      </c>
      <c r="D473" t="inlineStr">
        <is>
          <t>KRONOBERGS LÄN</t>
        </is>
      </c>
      <c r="E473" t="inlineStr">
        <is>
          <t>ALVESTA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7237-2022</t>
        </is>
      </c>
      <c r="B474" s="1" t="n">
        <v>44606</v>
      </c>
      <c r="C474" s="1" t="n">
        <v>45757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7290-2022</t>
        </is>
      </c>
      <c r="B475" s="1" t="n">
        <v>44606</v>
      </c>
      <c r="C475" s="1" t="n">
        <v>45757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7388-2022</t>
        </is>
      </c>
      <c r="B476" s="1" t="n">
        <v>44606</v>
      </c>
      <c r="C476" s="1" t="n">
        <v>45757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7731-2022</t>
        </is>
      </c>
      <c r="B477" s="1" t="n">
        <v>44608</v>
      </c>
      <c r="C477" s="1" t="n">
        <v>45757</v>
      </c>
      <c r="D477" t="inlineStr">
        <is>
          <t>KRONOBERGS LÄN</t>
        </is>
      </c>
      <c r="E477" t="inlineStr">
        <is>
          <t>ALVESTA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8119-2022</t>
        </is>
      </c>
      <c r="B478" s="1" t="n">
        <v>44609</v>
      </c>
      <c r="C478" s="1" t="n">
        <v>45757</v>
      </c>
      <c r="D478" t="inlineStr">
        <is>
          <t>KRONOBERGS LÄN</t>
        </is>
      </c>
      <c r="E478" t="inlineStr">
        <is>
          <t>ALVESTA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8140-2022</t>
        </is>
      </c>
      <c r="B479" s="1" t="n">
        <v>44609</v>
      </c>
      <c r="C479" s="1" t="n">
        <v>45757</v>
      </c>
      <c r="D479" t="inlineStr">
        <is>
          <t>KRONOBERGS LÄN</t>
        </is>
      </c>
      <c r="E479" t="inlineStr">
        <is>
          <t>ALVESTA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8653-2022</t>
        </is>
      </c>
      <c r="B480" s="1" t="n">
        <v>44613</v>
      </c>
      <c r="C480" s="1" t="n">
        <v>45757</v>
      </c>
      <c r="D480" t="inlineStr">
        <is>
          <t>KRONOBERGS LÄN</t>
        </is>
      </c>
      <c r="E480" t="inlineStr">
        <is>
          <t>ALVESTA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8635-2022</t>
        </is>
      </c>
      <c r="B481" s="1" t="n">
        <v>44613</v>
      </c>
      <c r="C481" s="1" t="n">
        <v>45757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8630-2022</t>
        </is>
      </c>
      <c r="B482" s="1" t="n">
        <v>44613</v>
      </c>
      <c r="C482" s="1" t="n">
        <v>45757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8627-2022</t>
        </is>
      </c>
      <c r="B483" s="1" t="n">
        <v>44613</v>
      </c>
      <c r="C483" s="1" t="n">
        <v>45757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9000-2022</t>
        </is>
      </c>
      <c r="B484" s="1" t="n">
        <v>44615</v>
      </c>
      <c r="C484" s="1" t="n">
        <v>45757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9089-2022</t>
        </is>
      </c>
      <c r="B485" s="1" t="n">
        <v>44615</v>
      </c>
      <c r="C485" s="1" t="n">
        <v>45757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9152-2022</t>
        </is>
      </c>
      <c r="B486" s="1" t="n">
        <v>44615</v>
      </c>
      <c r="C486" s="1" t="n">
        <v>45757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9149-2022</t>
        </is>
      </c>
      <c r="B487" s="1" t="n">
        <v>44615</v>
      </c>
      <c r="C487" s="1" t="n">
        <v>45757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9146-2022</t>
        </is>
      </c>
      <c r="B488" s="1" t="n">
        <v>44615</v>
      </c>
      <c r="C488" s="1" t="n">
        <v>45757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9833-2022</t>
        </is>
      </c>
      <c r="B489" s="1" t="n">
        <v>44620</v>
      </c>
      <c r="C489" s="1" t="n">
        <v>45757</v>
      </c>
      <c r="D489" t="inlineStr">
        <is>
          <t>KRONOBERGS LÄN</t>
        </is>
      </c>
      <c r="E489" t="inlineStr">
        <is>
          <t>ALVESTA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9822-2022</t>
        </is>
      </c>
      <c r="B490" s="1" t="n">
        <v>44620</v>
      </c>
      <c r="C490" s="1" t="n">
        <v>45757</v>
      </c>
      <c r="D490" t="inlineStr">
        <is>
          <t>KRONOBERGS LÄN</t>
        </is>
      </c>
      <c r="E490" t="inlineStr">
        <is>
          <t>ALVESTA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11912-2022</t>
        </is>
      </c>
      <c r="B491" s="1" t="n">
        <v>44635</v>
      </c>
      <c r="C491" s="1" t="n">
        <v>45757</v>
      </c>
      <c r="D491" t="inlineStr">
        <is>
          <t>KRONOBERGS LÄN</t>
        </is>
      </c>
      <c r="E491" t="inlineStr">
        <is>
          <t>ALVESTA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11915-2022</t>
        </is>
      </c>
      <c r="B492" s="1" t="n">
        <v>44635</v>
      </c>
      <c r="C492" s="1" t="n">
        <v>45757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11916-2022</t>
        </is>
      </c>
      <c r="B493" s="1" t="n">
        <v>44635</v>
      </c>
      <c r="C493" s="1" t="n">
        <v>45757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12925-2022</t>
        </is>
      </c>
      <c r="B494" s="1" t="n">
        <v>44642</v>
      </c>
      <c r="C494" s="1" t="n">
        <v>45757</v>
      </c>
      <c r="D494" t="inlineStr">
        <is>
          <t>KRONOBERGS LÄN</t>
        </is>
      </c>
      <c r="E494" t="inlineStr">
        <is>
          <t>ALVESTA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13674-2022</t>
        </is>
      </c>
      <c r="B495" s="1" t="n">
        <v>44648</v>
      </c>
      <c r="C495" s="1" t="n">
        <v>45757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13815-2022</t>
        </is>
      </c>
      <c r="B496" s="1" t="n">
        <v>44649</v>
      </c>
      <c r="C496" s="1" t="n">
        <v>45757</v>
      </c>
      <c r="D496" t="inlineStr">
        <is>
          <t>KRONOBERGS LÄN</t>
        </is>
      </c>
      <c r="E496" t="inlineStr">
        <is>
          <t>ALVESTA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14836-2022</t>
        </is>
      </c>
      <c r="B497" s="1" t="n">
        <v>44656</v>
      </c>
      <c r="C497" s="1" t="n">
        <v>45757</v>
      </c>
      <c r="D497" t="inlineStr">
        <is>
          <t>KRONOBERGS LÄN</t>
        </is>
      </c>
      <c r="E497" t="inlineStr">
        <is>
          <t>ALVESTA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14969-2022</t>
        </is>
      </c>
      <c r="B498" s="1" t="n">
        <v>44657</v>
      </c>
      <c r="C498" s="1" t="n">
        <v>45757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15331-2022</t>
        </is>
      </c>
      <c r="B499" s="1" t="n">
        <v>44659</v>
      </c>
      <c r="C499" s="1" t="n">
        <v>45757</v>
      </c>
      <c r="D499" t="inlineStr">
        <is>
          <t>KRONOBERGS LÄN</t>
        </is>
      </c>
      <c r="E499" t="inlineStr">
        <is>
          <t>ALVESTA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15745-2022</t>
        </is>
      </c>
      <c r="B500" s="1" t="n">
        <v>44663</v>
      </c>
      <c r="C500" s="1" t="n">
        <v>45757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16271-2022</t>
        </is>
      </c>
      <c r="B501" s="1" t="n">
        <v>44670</v>
      </c>
      <c r="C501" s="1" t="n">
        <v>45757</v>
      </c>
      <c r="D501" t="inlineStr">
        <is>
          <t>KRONOBERGS LÄN</t>
        </is>
      </c>
      <c r="E501" t="inlineStr">
        <is>
          <t>ALVESTA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18640-2022</t>
        </is>
      </c>
      <c r="B502" s="1" t="n">
        <v>44687</v>
      </c>
      <c r="C502" s="1" t="n">
        <v>45757</v>
      </c>
      <c r="D502" t="inlineStr">
        <is>
          <t>KRONOBERGS LÄN</t>
        </is>
      </c>
      <c r="E502" t="inlineStr">
        <is>
          <t>ALVESTA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18646-2022</t>
        </is>
      </c>
      <c r="B503" s="1" t="n">
        <v>44687</v>
      </c>
      <c r="C503" s="1" t="n">
        <v>45757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19266-2022</t>
        </is>
      </c>
      <c r="B504" s="1" t="n">
        <v>44692</v>
      </c>
      <c r="C504" s="1" t="n">
        <v>45757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19557-2022</t>
        </is>
      </c>
      <c r="B505" s="1" t="n">
        <v>44693</v>
      </c>
      <c r="C505" s="1" t="n">
        <v>45757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19554-2022</t>
        </is>
      </c>
      <c r="B506" s="1" t="n">
        <v>44693</v>
      </c>
      <c r="C506" s="1" t="n">
        <v>45757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19549-2022</t>
        </is>
      </c>
      <c r="B507" s="1" t="n">
        <v>44693</v>
      </c>
      <c r="C507" s="1" t="n">
        <v>45757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21564-2022</t>
        </is>
      </c>
      <c r="B508" s="1" t="n">
        <v>44706</v>
      </c>
      <c r="C508" s="1" t="n">
        <v>45757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21568-2022</t>
        </is>
      </c>
      <c r="B509" s="1" t="n">
        <v>44706</v>
      </c>
      <c r="C509" s="1" t="n">
        <v>45757</v>
      </c>
      <c r="D509" t="inlineStr">
        <is>
          <t>KRONOBERGS LÄN</t>
        </is>
      </c>
      <c r="E509" t="inlineStr">
        <is>
          <t>ALVESTA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24856-2022</t>
        </is>
      </c>
      <c r="B510" s="1" t="n">
        <v>44728</v>
      </c>
      <c r="C510" s="1" t="n">
        <v>45757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25914-2022</t>
        </is>
      </c>
      <c r="B511" s="1" t="n">
        <v>44734</v>
      </c>
      <c r="C511" s="1" t="n">
        <v>45757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26092-2022</t>
        </is>
      </c>
      <c r="B512" s="1" t="n">
        <v>44734</v>
      </c>
      <c r="C512" s="1" t="n">
        <v>45757</v>
      </c>
      <c r="D512" t="inlineStr">
        <is>
          <t>KRONOBERGS LÄN</t>
        </is>
      </c>
      <c r="E512" t="inlineStr">
        <is>
          <t>ALVESTA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26225-2022</t>
        </is>
      </c>
      <c r="B513" s="1" t="n">
        <v>44735</v>
      </c>
      <c r="C513" s="1" t="n">
        <v>45757</v>
      </c>
      <c r="D513" t="inlineStr">
        <is>
          <t>KRONOBERGS LÄN</t>
        </is>
      </c>
      <c r="E513" t="inlineStr">
        <is>
          <t>ALVESTA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26368-2022</t>
        </is>
      </c>
      <c r="B514" s="1" t="n">
        <v>44735</v>
      </c>
      <c r="C514" s="1" t="n">
        <v>45757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26381-2022</t>
        </is>
      </c>
      <c r="B515" s="1" t="n">
        <v>44735</v>
      </c>
      <c r="C515" s="1" t="n">
        <v>45757</v>
      </c>
      <c r="D515" t="inlineStr">
        <is>
          <t>KRONOBERGS LÄN</t>
        </is>
      </c>
      <c r="E515" t="inlineStr">
        <is>
          <t>ALVESTA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26371-2022</t>
        </is>
      </c>
      <c r="B516" s="1" t="n">
        <v>44735</v>
      </c>
      <c r="C516" s="1" t="n">
        <v>45757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26376-2022</t>
        </is>
      </c>
      <c r="B517" s="1" t="n">
        <v>44735</v>
      </c>
      <c r="C517" s="1" t="n">
        <v>45757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26621-2022</t>
        </is>
      </c>
      <c r="B518" s="1" t="n">
        <v>44739</v>
      </c>
      <c r="C518" s="1" t="n">
        <v>45757</v>
      </c>
      <c r="D518" t="inlineStr">
        <is>
          <t>KRONOBERGS LÄN</t>
        </is>
      </c>
      <c r="E518" t="inlineStr">
        <is>
          <t>ALVESTA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26695-2022</t>
        </is>
      </c>
      <c r="B519" s="1" t="n">
        <v>44739</v>
      </c>
      <c r="C519" s="1" t="n">
        <v>45757</v>
      </c>
      <c r="D519" t="inlineStr">
        <is>
          <t>KRONOBERGS LÄN</t>
        </is>
      </c>
      <c r="E519" t="inlineStr">
        <is>
          <t>ALVESTA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26975-2022</t>
        </is>
      </c>
      <c r="B520" s="1" t="n">
        <v>44740</v>
      </c>
      <c r="C520" s="1" t="n">
        <v>45757</v>
      </c>
      <c r="D520" t="inlineStr">
        <is>
          <t>KRONOBERGS LÄN</t>
        </is>
      </c>
      <c r="E520" t="inlineStr">
        <is>
          <t>ALVESTA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27085-2022</t>
        </is>
      </c>
      <c r="B521" s="1" t="n">
        <v>44741</v>
      </c>
      <c r="C521" s="1" t="n">
        <v>45757</v>
      </c>
      <c r="D521" t="inlineStr">
        <is>
          <t>KRONOBERGS LÄN</t>
        </is>
      </c>
      <c r="E521" t="inlineStr">
        <is>
          <t>ALVESTA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27736-2022</t>
        </is>
      </c>
      <c r="B522" s="1" t="n">
        <v>44743</v>
      </c>
      <c r="C522" s="1" t="n">
        <v>45757</v>
      </c>
      <c r="D522" t="inlineStr">
        <is>
          <t>KRONOBERGS LÄN</t>
        </is>
      </c>
      <c r="E522" t="inlineStr">
        <is>
          <t>ALVESTA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27694-2022</t>
        </is>
      </c>
      <c r="B523" s="1" t="n">
        <v>44743</v>
      </c>
      <c r="C523" s="1" t="n">
        <v>45757</v>
      </c>
      <c r="D523" t="inlineStr">
        <is>
          <t>KRONOBERGS LÄN</t>
        </is>
      </c>
      <c r="E523" t="inlineStr">
        <is>
          <t>ALVESTA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27710-2022</t>
        </is>
      </c>
      <c r="B524" s="1" t="n">
        <v>44743</v>
      </c>
      <c r="C524" s="1" t="n">
        <v>45757</v>
      </c>
      <c r="D524" t="inlineStr">
        <is>
          <t>KRONOBERGS LÄN</t>
        </is>
      </c>
      <c r="E524" t="inlineStr">
        <is>
          <t>ALVESTA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27731-2022</t>
        </is>
      </c>
      <c r="B525" s="1" t="n">
        <v>44743</v>
      </c>
      <c r="C525" s="1" t="n">
        <v>45757</v>
      </c>
      <c r="D525" t="inlineStr">
        <is>
          <t>KRONOBERGS LÄN</t>
        </is>
      </c>
      <c r="E525" t="inlineStr">
        <is>
          <t>ALVESTA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28336-2022</t>
        </is>
      </c>
      <c r="B526" s="1" t="n">
        <v>44747</v>
      </c>
      <c r="C526" s="1" t="n">
        <v>45757</v>
      </c>
      <c r="D526" t="inlineStr">
        <is>
          <t>KRONOBERGS LÄN</t>
        </is>
      </c>
      <c r="E526" t="inlineStr">
        <is>
          <t>ALVESTA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28818-2022</t>
        </is>
      </c>
      <c r="B527" s="1" t="n">
        <v>44749</v>
      </c>
      <c r="C527" s="1" t="n">
        <v>45757</v>
      </c>
      <c r="D527" t="inlineStr">
        <is>
          <t>KRONOBERGS LÄN</t>
        </is>
      </c>
      <c r="E527" t="inlineStr">
        <is>
          <t>ALVESTA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28867-2022</t>
        </is>
      </c>
      <c r="B528" s="1" t="n">
        <v>44749</v>
      </c>
      <c r="C528" s="1" t="n">
        <v>45757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29579-2022</t>
        </is>
      </c>
      <c r="B529" s="1" t="n">
        <v>44754</v>
      </c>
      <c r="C529" s="1" t="n">
        <v>45757</v>
      </c>
      <c r="D529" t="inlineStr">
        <is>
          <t>KRONOBERGS LÄN</t>
        </is>
      </c>
      <c r="E529" t="inlineStr">
        <is>
          <t>ALVESTA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30991-2022</t>
        </is>
      </c>
      <c r="B530" s="1" t="n">
        <v>44768</v>
      </c>
      <c r="C530" s="1" t="n">
        <v>45757</v>
      </c>
      <c r="D530" t="inlineStr">
        <is>
          <t>KRONOBERGS LÄN</t>
        </is>
      </c>
      <c r="E530" t="inlineStr">
        <is>
          <t>ALVESTA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30989-2022</t>
        </is>
      </c>
      <c r="B531" s="1" t="n">
        <v>44768</v>
      </c>
      <c r="C531" s="1" t="n">
        <v>45757</v>
      </c>
      <c r="D531" t="inlineStr">
        <is>
          <t>KRONOBERGS LÄN</t>
        </is>
      </c>
      <c r="E531" t="inlineStr">
        <is>
          <t>ALVESTA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32637-2022</t>
        </is>
      </c>
      <c r="B532" s="1" t="n">
        <v>44782</v>
      </c>
      <c r="C532" s="1" t="n">
        <v>45757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32760-2022</t>
        </is>
      </c>
      <c r="B533" s="1" t="n">
        <v>44783</v>
      </c>
      <c r="C533" s="1" t="n">
        <v>45757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32650-2022</t>
        </is>
      </c>
      <c r="B534" s="1" t="n">
        <v>44783</v>
      </c>
      <c r="C534" s="1" t="n">
        <v>45757</v>
      </c>
      <c r="D534" t="inlineStr">
        <is>
          <t>KRONOBERGS LÄN</t>
        </is>
      </c>
      <c r="E534" t="inlineStr">
        <is>
          <t>ALVESTA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32759-2022</t>
        </is>
      </c>
      <c r="B535" s="1" t="n">
        <v>44783</v>
      </c>
      <c r="C535" s="1" t="n">
        <v>45757</v>
      </c>
      <c r="D535" t="inlineStr">
        <is>
          <t>KRONOBERGS LÄN</t>
        </is>
      </c>
      <c r="E535" t="inlineStr">
        <is>
          <t>ALVESTA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33338-2022</t>
        </is>
      </c>
      <c r="B536" s="1" t="n">
        <v>44788</v>
      </c>
      <c r="C536" s="1" t="n">
        <v>45757</v>
      </c>
      <c r="D536" t="inlineStr">
        <is>
          <t>KRONOBERGS LÄN</t>
        </is>
      </c>
      <c r="E536" t="inlineStr">
        <is>
          <t>ALVESTA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35254-2022</t>
        </is>
      </c>
      <c r="B537" s="1" t="n">
        <v>44798</v>
      </c>
      <c r="C537" s="1" t="n">
        <v>45757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35279-2022</t>
        </is>
      </c>
      <c r="B538" s="1" t="n">
        <v>44798</v>
      </c>
      <c r="C538" s="1" t="n">
        <v>45757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HYPERLINK("https://klasma.github.io/Logging_0764/knärot/A 35279-2022 karta knärot.png", "A 35279-2022")</f>
        <v/>
      </c>
      <c r="V538">
        <f>HYPERLINK("https://klasma.github.io/Logging_0764/klagomål/A 35279-2022 FSC-klagomål.docx", "A 35279-2022")</f>
        <v/>
      </c>
      <c r="W538">
        <f>HYPERLINK("https://klasma.github.io/Logging_0764/klagomålsmail/A 35279-2022 FSC-klagomål mail.docx", "A 35279-2022")</f>
        <v/>
      </c>
      <c r="X538">
        <f>HYPERLINK("https://klasma.github.io/Logging_0764/tillsyn/A 35279-2022 tillsynsbegäran.docx", "A 35279-2022")</f>
        <v/>
      </c>
      <c r="Y538">
        <f>HYPERLINK("https://klasma.github.io/Logging_0764/tillsynsmail/A 35279-2022 tillsynsbegäran mail.docx", "A 35279-2022")</f>
        <v/>
      </c>
    </row>
    <row r="539" ht="15" customHeight="1">
      <c r="A539" t="inlineStr">
        <is>
          <t>A 35767-2022</t>
        </is>
      </c>
      <c r="B539" s="1" t="n">
        <v>44800</v>
      </c>
      <c r="C539" s="1" t="n">
        <v>45757</v>
      </c>
      <c r="D539" t="inlineStr">
        <is>
          <t>KRONOBERGS LÄN</t>
        </is>
      </c>
      <c r="E539" t="inlineStr">
        <is>
          <t>ALVESTA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36509-2022</t>
        </is>
      </c>
      <c r="B540" s="1" t="n">
        <v>44804</v>
      </c>
      <c r="C540" s="1" t="n">
        <v>45757</v>
      </c>
      <c r="D540" t="inlineStr">
        <is>
          <t>KRONOBERGS LÄN</t>
        </is>
      </c>
      <c r="E540" t="inlineStr">
        <is>
          <t>ALVESTA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36764-2022</t>
        </is>
      </c>
      <c r="B541" s="1" t="n">
        <v>44805</v>
      </c>
      <c r="C541" s="1" t="n">
        <v>45757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36750-2022</t>
        </is>
      </c>
      <c r="B542" s="1" t="n">
        <v>44805</v>
      </c>
      <c r="C542" s="1" t="n">
        <v>45757</v>
      </c>
      <c r="D542" t="inlineStr">
        <is>
          <t>KRONOBERGS LÄN</t>
        </is>
      </c>
      <c r="E542" t="inlineStr">
        <is>
          <t>ALVESTA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36862-2022</t>
        </is>
      </c>
      <c r="B543" s="1" t="n">
        <v>44805</v>
      </c>
      <c r="C543" s="1" t="n">
        <v>45757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36856-2022</t>
        </is>
      </c>
      <c r="B544" s="1" t="n">
        <v>44805</v>
      </c>
      <c r="C544" s="1" t="n">
        <v>45757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37580-2022</t>
        </is>
      </c>
      <c r="B545" s="1" t="n">
        <v>44809</v>
      </c>
      <c r="C545" s="1" t="n">
        <v>45757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37696-2022</t>
        </is>
      </c>
      <c r="B546" s="1" t="n">
        <v>44810</v>
      </c>
      <c r="C546" s="1" t="n">
        <v>45757</v>
      </c>
      <c r="D546" t="inlineStr">
        <is>
          <t>KRONOBERGS LÄN</t>
        </is>
      </c>
      <c r="E546" t="inlineStr">
        <is>
          <t>ALVESTA</t>
        </is>
      </c>
      <c r="F546" t="inlineStr">
        <is>
          <t>Kyrkan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38385-2022</t>
        </is>
      </c>
      <c r="B547" s="1" t="n">
        <v>44812</v>
      </c>
      <c r="C547" s="1" t="n">
        <v>45757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38765-2022</t>
        </is>
      </c>
      <c r="B548" s="1" t="n">
        <v>44816</v>
      </c>
      <c r="C548" s="1" t="n">
        <v>45757</v>
      </c>
      <c r="D548" t="inlineStr">
        <is>
          <t>KRONOBERGS LÄN</t>
        </is>
      </c>
      <c r="E548" t="inlineStr">
        <is>
          <t>ALVESTA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38875-2022</t>
        </is>
      </c>
      <c r="B549" s="1" t="n">
        <v>44816</v>
      </c>
      <c r="C549" s="1" t="n">
        <v>45757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40318-2022</t>
        </is>
      </c>
      <c r="B550" s="1" t="n">
        <v>44823</v>
      </c>
      <c r="C550" s="1" t="n">
        <v>45757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45757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45757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45757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45757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45757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45757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45757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45757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45757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45757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45757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45757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45757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45757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45757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45757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45757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45757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45757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45757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45757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45757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45757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45757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45757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45757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45757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45757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45757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45757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45757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45757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45757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45757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45757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45757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45757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45757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45757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45757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45757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45757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45757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45757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45757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45757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45757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45757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45757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45757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45757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45757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45757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45757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45757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45757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45757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45757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45757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45757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45757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45757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45757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45757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45757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45757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45757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45757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45757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45757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45757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45757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45757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45757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45757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45757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45757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45757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45757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45757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45757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45757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45757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45757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45757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45757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45757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45757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45757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45757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45757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45757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45757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45757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45757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45757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45757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45757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45757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45757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45757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45757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45757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45757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45757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45757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45757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45757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45757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45757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45757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45757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45757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45757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45757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45757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45757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45757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45757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45757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45757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45757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45757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45757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45757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45757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45757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45757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45757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45757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45757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45757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45757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45757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45757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45757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45757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45757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45757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45757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45757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45757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45757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45757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45757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45757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45757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45757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45757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45757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45757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45757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45757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45757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45757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45757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45757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45757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45757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45757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45757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45757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45757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45757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45757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45757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45757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45757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45757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45757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45757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45757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45757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45757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45757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45757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45757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45757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45757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45757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45757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45757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45757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45757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45757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45757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45757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45757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45757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45757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45757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45757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45757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45757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45757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45757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45757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45757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45757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45757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45757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45757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45757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45757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45757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45757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45757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45757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45757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45757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45757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45757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45757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45757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45757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45757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45757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45757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45757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45757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45757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45757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45757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45757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45757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45757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45757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45757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45757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45757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45757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45757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45757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45757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45757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45757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45757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45757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45757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45757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45757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45757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45757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45757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45757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45757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45757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45757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45757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45757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45757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45757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45757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45757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45757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45757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45757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45757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45757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45757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45757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45757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45757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45757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45757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45757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45757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45757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45757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45757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45757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45757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45757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45757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45757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45757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45757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45757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45757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45757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45757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45757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45757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45757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45757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45757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45757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45757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45757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45757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45757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45757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45757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45757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45757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45757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45757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45757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45757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45757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45757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45757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45757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45757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45757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45757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45757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45757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45757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45757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45757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45757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45757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45757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45757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45757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45757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45757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45757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45757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45757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45757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45757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45757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45757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45757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45757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45757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45757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45757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45757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45757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45757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45757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45757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45757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45757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45757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45757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45757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45757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45757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45757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45757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45757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45757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45757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45757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45757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45757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45757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45757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45757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45757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45757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45757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45757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45757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45757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45757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45757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45757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45757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45757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45757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45757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45757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45757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45757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45757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45757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45757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45757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45757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45757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45757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45757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45757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45757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45757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45757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45757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45757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45757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45757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45757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45757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45757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45757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45757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45757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45757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45757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45757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45757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45757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45757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45757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45757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45757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45757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45757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45757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45757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45757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45757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45757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45757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45757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45757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45757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45757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45757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45757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45757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45757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45757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45757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45757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45757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45757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45757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45757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45757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45757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45757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45757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45757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45757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45757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45757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45757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45757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45757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45757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45757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45757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45757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45757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45757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45757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45757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45757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45757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45757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45757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45757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45757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45757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45757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45757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45757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45757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45757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45757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45757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45757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45757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45757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45757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45757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45757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45757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45757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45757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45757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45757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45757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45757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45757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45757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45757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45757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45757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45757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45757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45757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45757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45757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45757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45757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45757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45757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45757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45757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45757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45757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45757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45757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45757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45757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45757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45757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45757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45757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45757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45757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45757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45757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45757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45757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45757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45757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45757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45757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45757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45757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45757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45757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45757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45757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45757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45757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45757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45757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45757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45757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45757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45757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45757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45757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45757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45757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45757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45757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45757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45757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45757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45757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45757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45757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45757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45757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45757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45757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45757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45757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45757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45757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45757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45757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45757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45757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45757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45757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45757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45757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45757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45757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45757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45757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45757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45757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45757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45757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45757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45757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45757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45757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45757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45757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45757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45757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45757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45757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45757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45757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45757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45757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45757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45757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45757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45757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45757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45757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45757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45757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45757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45757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45757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45757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45757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45757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45757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45757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45757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45757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45757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45757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45757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45757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45757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45757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45757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45757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45757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45757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45757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45757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45757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45757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45757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45757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45757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45757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45757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45757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45757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45757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45757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45757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45757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45757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45757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45757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45757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45757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45757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45757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45757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45757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45757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45757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45757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45757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45757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45757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45757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45757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45757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45757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45757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45757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45757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45757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45757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45757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45757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45757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45757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45757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45757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45757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45757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45757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45757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45757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45757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45757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45757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45757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45757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45757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45757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45757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45757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45757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45757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45757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45757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45757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45757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45757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45757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45757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45757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45757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45757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45757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45757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15171-2025</t>
        </is>
      </c>
      <c r="B1221" s="1" t="n">
        <v>45744</v>
      </c>
      <c r="C1221" s="1" t="n">
        <v>45757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15798-2025</t>
        </is>
      </c>
      <c r="B1222" s="1" t="n">
        <v>45748</v>
      </c>
      <c r="C1222" s="1" t="n">
        <v>45757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15820-2025</t>
        </is>
      </c>
      <c r="B1223" s="1" t="n">
        <v>45748</v>
      </c>
      <c r="C1223" s="1" t="n">
        <v>45757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16071-2025</t>
        </is>
      </c>
      <c r="B1224" s="1" t="n">
        <v>45749</v>
      </c>
      <c r="C1224" s="1" t="n">
        <v>45757</v>
      </c>
      <c r="D1224" t="inlineStr">
        <is>
          <t>KRONOBERGS LÄN</t>
        </is>
      </c>
      <c r="E1224" t="inlineStr">
        <is>
          <t>ALVESTA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2025-04-10T16:10:05Z</dcterms:created>
  <dcterms:modified xmlns:dcterms="http://purl.org/dc/terms/" xmlns:xsi="http://www.w3.org/2001/XMLSchema-instance" xsi:type="dcterms:W3CDTF">2025-04-10T16:10:06Z</dcterms:modified>
</cp:coreProperties>
</file>