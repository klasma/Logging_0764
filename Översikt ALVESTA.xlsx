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46290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46290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46290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46290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46290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46290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46290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46290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46290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46290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46290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46290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46290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35257-2026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46261</v>
      </c>
      <c r="E27" s="1" t="n">
        <v>46290</v>
      </c>
      <c r="F27" t="inlineStr">
        <is>
          <t>KRONOBERGS LÄN</t>
        </is>
      </c>
      <c r="G27" t="inlineStr">
        <is>
          <t>ALVESTA</t>
        </is>
      </c>
      <c r="I27" t="n">
        <v>3.5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Sotvaxskivling
Västlig hakmossa</t>
        </is>
      </c>
      <c r="W27">
        <f>HYPERLINK("https://klasma.github.io/Logging_0764/artfynd/A 35257-2026 artfynd.xlsx", "A 35257-2026")</f>
        <v/>
      </c>
      <c r="X27">
        <f>HYPERLINK("https://klasma.github.io/Logging_0764/kartor/A 35257-2026 karta.png", "A 35257-2026")</f>
        <v/>
      </c>
      <c r="Y27">
        <f>HYPERLINK("https://klasma.github.io/Logging_0764/kartor_geotiff/A 35257-2026 georefererad karta.tif", "A 35257-2026")</f>
        <v/>
      </c>
      <c r="AA27">
        <f>HYPERLINK("https://klasma.github.io/Logging_0764/klagomål/A 35257-2026 FSC-klagomål.docx", "A 35257-2026")</f>
        <v/>
      </c>
      <c r="AB27">
        <f>HYPERLINK("https://klasma.github.io/Logging_0764/klagomålsmail/A 35257-2026 FSC-klagomål mail.docx", "A 35257-2026")</f>
        <v/>
      </c>
      <c r="AC27">
        <f>HYPERLINK("https://klasma.github.io/Logging_0764/tillsyn/A 35257-2026 tillsynsbegäran.docx", "A 35257-2026")</f>
        <v/>
      </c>
      <c r="AD27">
        <f>HYPERLINK("https://klasma.github.io/Logging_0764/tillsynsmail/A 35257-2026 tillsynsbegäran mail.docx", "A 35257-2026")</f>
        <v/>
      </c>
    </row>
    <row r="28" ht="15" customHeight="1">
      <c r="A28" t="inlineStr">
        <is>
          <t>A 37143-2026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46274</v>
      </c>
      <c r="E28" s="1" t="n">
        <v>46290</v>
      </c>
      <c r="F28" t="inlineStr">
        <is>
          <t>KRONOBERGS LÄN</t>
        </is>
      </c>
      <c r="G28" t="inlineStr">
        <is>
          <t>ALVESTA</t>
        </is>
      </c>
      <c r="I28" t="n">
        <v>5.8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Vedtrappmossa
Stor revmossa</t>
        </is>
      </c>
      <c r="W28">
        <f>HYPERLINK("https://klasma.github.io/Logging_0764/artfynd/A 37143-2026 artfynd.xlsx", "A 37143-2026")</f>
        <v/>
      </c>
      <c r="X28">
        <f>HYPERLINK("https://klasma.github.io/Logging_0764/kartor/A 37143-2026 karta.png", "A 37143-2026")</f>
        <v/>
      </c>
      <c r="Y28">
        <f>HYPERLINK("https://klasma.github.io/Logging_0764/kartor_geotiff/A 37143-2026 georefererad karta.tif", "A 37143-2026")</f>
        <v/>
      </c>
      <c r="AA28">
        <f>HYPERLINK("https://klasma.github.io/Logging_0764/klagomål/A 37143-2026 FSC-klagomål.docx", "A 37143-2026")</f>
        <v/>
      </c>
      <c r="AB28">
        <f>HYPERLINK("https://klasma.github.io/Logging_0764/klagomålsmail/A 37143-2026 FSC-klagomål mail.docx", "A 37143-2026")</f>
        <v/>
      </c>
      <c r="AC28">
        <f>HYPERLINK("https://klasma.github.io/Logging_0764/tillsyn/A 37143-2026 tillsynsbegäran.docx", "A 37143-2026")</f>
        <v/>
      </c>
      <c r="AD28">
        <f>HYPERLINK("https://klasma.github.io/Logging_0764/tillsynsmail/A 37143-2026 tillsynsbegäran mail.docx", "A 37143-2026")</f>
        <v/>
      </c>
    </row>
    <row r="29" ht="15" customHeight="1">
      <c r="A29" t="inlineStr">
        <is>
          <t>A 59362-2024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45638</v>
      </c>
      <c r="E29" s="1" t="n">
        <v>46290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Brandticka
Västlig hakmossa</t>
        </is>
      </c>
      <c r="W29">
        <f>HYPERLINK("https://klasma.github.io/Logging_0764/artfynd/A 59362-2024 artfynd.xlsx", "A 59362-2024")</f>
        <v/>
      </c>
      <c r="X29">
        <f>HYPERLINK("https://klasma.github.io/Logging_0764/kartor/A 59362-2024 karta.png", "A 59362-2024")</f>
        <v/>
      </c>
      <c r="Y29">
        <f>HYPERLINK("https://klasma.github.io/Logging_0764/kartor_geotiff/A 59362-2024 georefererad karta.tif", "A 59362-2024")</f>
        <v/>
      </c>
      <c r="AA29">
        <f>HYPERLINK("https://klasma.github.io/Logging_0764/klagomål/A 59362-2024 FSC-klagomål.docx", "A 59362-2024")</f>
        <v/>
      </c>
      <c r="AB29">
        <f>HYPERLINK("https://klasma.github.io/Logging_0764/klagomålsmail/A 59362-2024 FSC-klagomål mail.docx", "A 59362-2024")</f>
        <v/>
      </c>
      <c r="AC29">
        <f>HYPERLINK("https://klasma.github.io/Logging_0764/tillsyn/A 59362-2024 tillsynsbegäran.docx", "A 59362-2024")</f>
        <v/>
      </c>
      <c r="AD29">
        <f>HYPERLINK("https://klasma.github.io/Logging_0764/tillsynsmail/A 59362-2024 tillsynsbegäran mail.docx", "A 59362-2024")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46290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32789-2026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46290</v>
      </c>
      <c r="F31" t="inlineStr">
        <is>
          <t>KRONOBERGS LÄN</t>
        </is>
      </c>
      <c r="G31" t="inlineStr">
        <is>
          <t>ALVESTA</t>
        </is>
      </c>
      <c r="I31" t="n">
        <v>16.5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Huggorm</t>
        </is>
      </c>
      <c r="W31">
        <f>HYPERLINK("https://klasma.github.io/Logging_0764/artfynd/A 32789-2026 artfynd.xlsx", "A 32789-2026")</f>
        <v/>
      </c>
      <c r="X31">
        <f>HYPERLINK("https://klasma.github.io/Logging_0764/kartor/A 32789-2026 karta.png", "A 32789-2026")</f>
        <v/>
      </c>
      <c r="Y31">
        <f>HYPERLINK("https://klasma.github.io/Logging_0764/kartor_geotiff/A 32789-2026 georefererad karta.tif", "A 32789-2026")</f>
        <v/>
      </c>
      <c r="AA31">
        <f>HYPERLINK("https://klasma.github.io/Logging_0764/klagomål/A 32789-2026 FSC-klagomål.docx", "A 32789-2026")</f>
        <v/>
      </c>
      <c r="AB31">
        <f>HYPERLINK("https://klasma.github.io/Logging_0764/klagomålsmail/A 32789-2026 FSC-klagomål mail.docx", "A 32789-2026")</f>
        <v/>
      </c>
      <c r="AC31">
        <f>HYPERLINK("https://klasma.github.io/Logging_0764/tillsyn/A 32789-2026 tillsynsbegäran.docx", "A 32789-2026")</f>
        <v/>
      </c>
      <c r="AD31">
        <f>HYPERLINK("https://klasma.github.io/Logging_0764/tillsynsmail/A 32789-2026 tillsynsbegäran mail.docx", "A 32789-2026")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46290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46290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46290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46290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46290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46290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46290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46290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46290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46290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46290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47338-2022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46290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HYPERLINK("https://klasma.github.io/Logging_0764/artfynd/A 47338-2022 artfynd.xlsx", "A 47338-2022")</f>
        <v/>
      </c>
      <c r="X43">
        <f>HYPERLINK("https://klasma.github.io/Logging_0764/kartor/A 47338-2022 karta.png", "A 47338-2022")</f>
        <v/>
      </c>
      <c r="Y43">
        <f>HYPERLINK("https://klasma.github.io/Logging_0764/kartor_geotiff/A 47338-2022 georefererad karta.tif", "A 47338-2022")</f>
        <v/>
      </c>
      <c r="AA43">
        <f>HYPERLINK("https://klasma.github.io/Logging_0764/klagomål/A 47338-2022 FSC-klagomål.docx", "A 47338-2022")</f>
        <v/>
      </c>
      <c r="AB43">
        <f>HYPERLINK("https://klasma.github.io/Logging_0764/klagomålsmail/A 47338-2022 FSC-klagomål mail.docx", "A 47338-2022")</f>
        <v/>
      </c>
      <c r="AC43">
        <f>HYPERLINK("https://klasma.github.io/Logging_0764/tillsyn/A 47338-2022 tillsynsbegäran.docx", "A 47338-2022")</f>
        <v/>
      </c>
      <c r="AD43">
        <f>HYPERLINK("https://klasma.github.io/Logging_0764/tillsynsmail/A 47338-2022 tillsynsbegäran mail.docx", "A 47338-2022")</f>
        <v/>
      </c>
      <c r="AE43">
        <f>HYPERLINK("https://klasma.github.io/Logging_0764/fåglar/A 47338-2022 prioriterade fågelarter.docx", "A 47338-2022")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46290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46290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HYPERLINK("https://klasma.github.io/Logging_0764/artfynd/A 55368-2025 artfynd.xlsx", "A 55368-2025")</f>
        <v/>
      </c>
      <c r="X45">
        <f>HYPERLINK("https://klasma.github.io/Logging_0764/kartor/A 55368-2025 karta.png", "A 55368-2025")</f>
        <v/>
      </c>
      <c r="Y45">
        <f>HYPERLINK("https://klasma.github.io/Logging_0764/kartor_geotiff/A 55368-2025 georefererad karta.tif", "A 55368-2025")</f>
        <v/>
      </c>
      <c r="AA45">
        <f>HYPERLINK("https://klasma.github.io/Logging_0764/klagomål/A 55368-2025 FSC-klagomål.docx", "A 55368-2025")</f>
        <v/>
      </c>
      <c r="AB45">
        <f>HYPERLINK("https://klasma.github.io/Logging_0764/klagomålsmail/A 55368-2025 FSC-klagomål mail.docx", "A 55368-2025")</f>
        <v/>
      </c>
      <c r="AC45">
        <f>HYPERLINK("https://klasma.github.io/Logging_0764/tillsyn/A 55368-2025 tillsynsbegäran.docx", "A 55368-2025")</f>
        <v/>
      </c>
      <c r="AD45">
        <f>HYPERLINK("https://klasma.github.io/Logging_0764/tillsynsmail/A 55368-2025 tillsynsbegäran mail.docx", "A 55368-2025")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46290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HYPERLINK("https://klasma.github.io/Logging_0764/artfynd/A 60729-2025 artfynd.xlsx", "A 60729-2025")</f>
        <v/>
      </c>
      <c r="X46">
        <f>HYPERLINK("https://klasma.github.io/Logging_0764/kartor/A 60729-2025 karta.png", "A 60729-2025")</f>
        <v/>
      </c>
      <c r="Y46">
        <f>HYPERLINK("https://klasma.github.io/Logging_0764/kartor_geotiff/A 60729-2025 georefererad karta.tif", "A 60729-2025")</f>
        <v/>
      </c>
      <c r="AA46">
        <f>HYPERLINK("https://klasma.github.io/Logging_0764/klagomål/A 60729-2025 FSC-klagomål.docx", "A 60729-2025")</f>
        <v/>
      </c>
      <c r="AB46">
        <f>HYPERLINK("https://klasma.github.io/Logging_0764/klagomålsmail/A 60729-2025 FSC-klagomål mail.docx", "A 60729-2025")</f>
        <v/>
      </c>
      <c r="AC46">
        <f>HYPERLINK("https://klasma.github.io/Logging_0764/tillsyn/A 60729-2025 tillsynsbegäran.docx", "A 60729-2025")</f>
        <v/>
      </c>
      <c r="AD46">
        <f>HYPERLINK("https://klasma.github.io/Logging_0764/tillsynsmail/A 60729-2025 tillsynsbegäran mail.docx", "A 60729-2025")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46290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43766-2023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46290</v>
      </c>
      <c r="F48" t="inlineStr">
        <is>
          <t>KRONOBERGS LÄN</t>
        </is>
      </c>
      <c r="G48" t="inlineStr">
        <is>
          <t>ALVESTA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HYPERLINK("https://klasma.github.io/Logging_0764/artfynd/A 43766-2023 artfynd.xlsx", "A 43766-2023")</f>
        <v/>
      </c>
      <c r="X48">
        <f>HYPERLINK("https://klasma.github.io/Logging_0764/kartor/A 43766-2023 karta.png", "A 43766-2023")</f>
        <v/>
      </c>
      <c r="Y48">
        <f>HYPERLINK("https://klasma.github.io/Logging_0764/kartor_geotiff/A 43766-2023 georefererad karta.tif", "A 43766-2023")</f>
        <v/>
      </c>
      <c r="AA48">
        <f>HYPERLINK("https://klasma.github.io/Logging_0764/klagomål/A 43766-2023 FSC-klagomål.docx", "A 43766-2023")</f>
        <v/>
      </c>
      <c r="AB48">
        <f>HYPERLINK("https://klasma.github.io/Logging_0764/klagomålsmail/A 43766-2023 FSC-klagomål mail.docx", "A 43766-2023")</f>
        <v/>
      </c>
      <c r="AC48">
        <f>HYPERLINK("https://klasma.github.io/Logging_0764/tillsyn/A 43766-2023 tillsynsbegäran.docx", "A 43766-2023")</f>
        <v/>
      </c>
      <c r="AD48">
        <f>HYPERLINK("https://klasma.github.io/Logging_0764/tillsynsmail/A 43766-2023 tillsynsbegäran mail.docx", "A 43766-2023")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46290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46290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46290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46290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46290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46290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46290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46290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46290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46290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46290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46290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46290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46290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46290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46290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46290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46290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46290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46290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46290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46290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46290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46290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46290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46290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46290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46290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46290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46290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46290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46290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46290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46290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46290</v>
      </c>
      <c r="F83" t="inlineStr">
        <is>
          <t>KRONOBERGS LÄN</t>
        </is>
      </c>
      <c r="G83" t="inlineStr">
        <is>
          <t>ALVESTA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46290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46290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46290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46290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46290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46290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46290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46290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46290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46290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46290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46290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46290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46290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46290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46290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46290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46290</v>
      </c>
      <c r="F101" t="inlineStr">
        <is>
          <t>KRONOBERGS LÄN</t>
        </is>
      </c>
      <c r="G101" t="inlineStr">
        <is>
          <t>ALVESTA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46290</v>
      </c>
      <c r="F102" t="inlineStr">
        <is>
          <t>KRONOBERGS LÄN</t>
        </is>
      </c>
      <c r="G102" t="inlineStr">
        <is>
          <t>ALVESTA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46290</v>
      </c>
      <c r="F103" t="inlineStr">
        <is>
          <t>KRONOBERGS LÄN</t>
        </is>
      </c>
      <c r="G103" t="inlineStr">
        <is>
          <t>ALVESTA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46290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44804</v>
      </c>
      <c r="E105" s="1" t="n">
        <v>46290</v>
      </c>
      <c r="F105" t="inlineStr">
        <is>
          <t>KRONOBERGS LÄN</t>
        </is>
      </c>
      <c r="G105" t="inlineStr">
        <is>
          <t>ALVESTA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46290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44656</v>
      </c>
      <c r="E107" s="1" t="n">
        <v>46290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46290</v>
      </c>
      <c r="F108" t="inlineStr">
        <is>
          <t>KRONOBERGS LÄN</t>
        </is>
      </c>
      <c r="G108" t="inlineStr">
        <is>
          <t>ALVESTA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46290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46290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46290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46290</v>
      </c>
      <c r="F112" t="inlineStr">
        <is>
          <t>KRONOBERGS LÄN</t>
        </is>
      </c>
      <c r="G112" t="inlineStr">
        <is>
          <t>ALVESTA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45218</v>
      </c>
      <c r="E113" s="1" t="n">
        <v>46290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46290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44569</v>
      </c>
      <c r="E115" s="1" t="n">
        <v>46290</v>
      </c>
      <c r="F115" t="inlineStr">
        <is>
          <t>KRONOBERGS LÄN</t>
        </is>
      </c>
      <c r="G115" t="inlineStr">
        <is>
          <t>ALVESTA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44783</v>
      </c>
      <c r="E116" s="1" t="n">
        <v>46290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46290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46290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44985</v>
      </c>
      <c r="E119" s="1" t="n">
        <v>46290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46290</v>
      </c>
      <c r="F120" t="inlineStr">
        <is>
          <t>KRONOBERGS LÄN</t>
        </is>
      </c>
      <c r="G120" t="inlineStr">
        <is>
          <t>ALVESTA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46290</v>
      </c>
      <c r="F121" t="inlineStr">
        <is>
          <t>KRONOBERGS LÄN</t>
        </is>
      </c>
      <c r="G121" t="inlineStr">
        <is>
          <t>ALVESTA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46290</v>
      </c>
      <c r="F122" t="inlineStr">
        <is>
          <t>KRONOBERGS LÄN</t>
        </is>
      </c>
      <c r="G122" t="inlineStr">
        <is>
          <t>ALVESTA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46290</v>
      </c>
      <c r="F123" t="inlineStr">
        <is>
          <t>KRONOBERGS LÄN</t>
        </is>
      </c>
      <c r="G123" t="inlineStr">
        <is>
          <t>ALVESTA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46290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46290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46290</v>
      </c>
      <c r="F126" t="inlineStr">
        <is>
          <t>KRONOBERGS LÄN</t>
        </is>
      </c>
      <c r="G126" t="inlineStr">
        <is>
          <t>ALVESTA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46290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46290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46290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46290</v>
      </c>
      <c r="F130" t="inlineStr">
        <is>
          <t>KRONOBERGS LÄN</t>
        </is>
      </c>
      <c r="G130" t="inlineStr">
        <is>
          <t>ALVESTA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45518</v>
      </c>
      <c r="E131" s="1" t="n">
        <v>46290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46290</v>
      </c>
      <c r="F132" t="inlineStr">
        <is>
          <t>KRONOBERGS LÄN</t>
        </is>
      </c>
      <c r="G132" t="inlineStr">
        <is>
          <t>ALVESTA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46290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46290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46290</v>
      </c>
      <c r="F135" t="inlineStr">
        <is>
          <t>KRONOBERGS LÄN</t>
        </is>
      </c>
      <c r="G135" t="inlineStr">
        <is>
          <t>ALVESTA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46290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46290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45135</v>
      </c>
      <c r="E138" s="1" t="n">
        <v>46290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46290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60487-2023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45259</v>
      </c>
      <c r="E140" s="1" t="n">
        <v>46290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45166</v>
      </c>
      <c r="E141" s="1" t="n">
        <v>46290</v>
      </c>
      <c r="F141" t="inlineStr">
        <is>
          <t>KRONOBERGS LÄN</t>
        </is>
      </c>
      <c r="G141" t="inlineStr">
        <is>
          <t>ALVESTA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46290</v>
      </c>
      <c r="F142" t="inlineStr">
        <is>
          <t>KRONOBERGS LÄN</t>
        </is>
      </c>
      <c r="G142" t="inlineStr">
        <is>
          <t>ALVESTA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45629</v>
      </c>
      <c r="E143" s="1" t="n">
        <v>46290</v>
      </c>
      <c r="F143" t="inlineStr">
        <is>
          <t>KRONOBERGS LÄN</t>
        </is>
      </c>
      <c r="G143" t="inlineStr">
        <is>
          <t>ALVESTA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45216</v>
      </c>
      <c r="E144" s="1" t="n">
        <v>46290</v>
      </c>
      <c r="F144" t="inlineStr">
        <is>
          <t>KRONOBERGS LÄN</t>
        </is>
      </c>
      <c r="G144" t="inlineStr">
        <is>
          <t>ALVESTA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46290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46290</v>
      </c>
      <c r="F146" t="inlineStr">
        <is>
          <t>KRONOBERGS LÄN</t>
        </is>
      </c>
      <c r="G146" t="inlineStr">
        <is>
          <t>ALVESTA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46290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46290</v>
      </c>
      <c r="F148" t="inlineStr">
        <is>
          <t>KRONOBERGS LÄN</t>
        </is>
      </c>
      <c r="G148" t="inlineStr">
        <is>
          <t>ALVESTA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45169</v>
      </c>
      <c r="E149" s="1" t="n">
        <v>46290</v>
      </c>
      <c r="F149" t="inlineStr">
        <is>
          <t>KRONOBERGS LÄN</t>
        </is>
      </c>
      <c r="G149" t="inlineStr">
        <is>
          <t>ALVESTA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44972</v>
      </c>
      <c r="E150" s="1" t="n">
        <v>46290</v>
      </c>
      <c r="F150" t="inlineStr">
        <is>
          <t>KRONOBERGS LÄN</t>
        </is>
      </c>
      <c r="G150" t="inlineStr">
        <is>
          <t>ALVESTA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44818-2024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45574</v>
      </c>
      <c r="E151" s="1" t="n">
        <v>46290</v>
      </c>
      <c r="F151" t="inlineStr">
        <is>
          <t>KRONOBERGS LÄN</t>
        </is>
      </c>
      <c r="G151" t="inlineStr">
        <is>
          <t>ALVESTA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45708</v>
      </c>
      <c r="E152" s="1" t="n">
        <v>46290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62704-2021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44504</v>
      </c>
      <c r="E153" s="1" t="n">
        <v>46290</v>
      </c>
      <c r="F153" t="inlineStr">
        <is>
          <t>KRONOBERGS LÄN</t>
        </is>
      </c>
      <c r="G153" t="inlineStr">
        <is>
          <t>ALVESTA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46290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46290</v>
      </c>
      <c r="F155" t="inlineStr">
        <is>
          <t>KRONOBERGS LÄN</t>
        </is>
      </c>
      <c r="G155" t="inlineStr">
        <is>
          <t>ALVESTA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46290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46290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46290</v>
      </c>
      <c r="F158" t="inlineStr">
        <is>
          <t>KRONOBERGS LÄN</t>
        </is>
      </c>
      <c r="G158" t="inlineStr">
        <is>
          <t>ALVESTA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46290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46290</v>
      </c>
      <c r="F160" t="inlineStr">
        <is>
          <t>KRONOBERGS LÄN</t>
        </is>
      </c>
      <c r="G160" t="inlineStr">
        <is>
          <t>ALVESTA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45460</v>
      </c>
      <c r="E161" s="1" t="n">
        <v>46290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45463</v>
      </c>
      <c r="E162" s="1" t="n">
        <v>46290</v>
      </c>
      <c r="F162" t="inlineStr">
        <is>
          <t>KRONOBERGS LÄN</t>
        </is>
      </c>
      <c r="G162" t="inlineStr">
        <is>
          <t>ALVESTA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44901</v>
      </c>
      <c r="E163" s="1" t="n">
        <v>46290</v>
      </c>
      <c r="F163" t="inlineStr">
        <is>
          <t>KRONOBERGS LÄN</t>
        </is>
      </c>
      <c r="G163" t="inlineStr">
        <is>
          <t>ALVESTA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46290</v>
      </c>
      <c r="F164" t="inlineStr">
        <is>
          <t>KRONOBERGS LÄN</t>
        </is>
      </c>
      <c r="G164" t="inlineStr">
        <is>
          <t>ALVESTA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46290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57118-2023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45245</v>
      </c>
      <c r="E166" s="1" t="n">
        <v>46290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45345</v>
      </c>
      <c r="E167" s="1" t="n">
        <v>46290</v>
      </c>
      <c r="F167" t="inlineStr">
        <is>
          <t>KRONOBERGS LÄN</t>
        </is>
      </c>
      <c r="G167" t="inlineStr">
        <is>
          <t>ALVESTA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46290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46290</v>
      </c>
      <c r="F169" t="inlineStr">
        <is>
          <t>KRONOBERGS LÄN</t>
        </is>
      </c>
      <c r="G169" t="inlineStr">
        <is>
          <t>ALVESTA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45338</v>
      </c>
      <c r="E170" s="1" t="n">
        <v>46290</v>
      </c>
      <c r="F170" t="inlineStr">
        <is>
          <t>KRONOBERGS LÄN</t>
        </is>
      </c>
      <c r="G170" t="inlineStr">
        <is>
          <t>ALVESTA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46290</v>
      </c>
      <c r="F171" t="inlineStr">
        <is>
          <t>KRONOBERGS LÄN</t>
        </is>
      </c>
      <c r="G171" t="inlineStr">
        <is>
          <t>ALVESTA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46290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46290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25261-2024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45462</v>
      </c>
      <c r="E174" s="1" t="n">
        <v>46290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46290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46290</v>
      </c>
      <c r="F176" t="inlineStr">
        <is>
          <t>KRONOBERGS LÄN</t>
        </is>
      </c>
      <c r="G176" t="inlineStr">
        <is>
          <t>ALVESTA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45532</v>
      </c>
      <c r="E177" s="1" t="n">
        <v>46290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46290</v>
      </c>
      <c r="F178" t="inlineStr">
        <is>
          <t>KRONOBERGS LÄN</t>
        </is>
      </c>
      <c r="G178" t="inlineStr">
        <is>
          <t>ALVESTA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46290</v>
      </c>
      <c r="F179" t="inlineStr">
        <is>
          <t>KRONOBERGS LÄN</t>
        </is>
      </c>
      <c r="G179" t="inlineStr">
        <is>
          <t>ALVESTA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46290</v>
      </c>
      <c r="F180" t="inlineStr">
        <is>
          <t>KRONOBERGS LÄN</t>
        </is>
      </c>
      <c r="G180" t="inlineStr">
        <is>
          <t>ALVESTA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46290</v>
      </c>
      <c r="F181" t="inlineStr">
        <is>
          <t>KRONOBERGS LÄN</t>
        </is>
      </c>
      <c r="G181" t="inlineStr">
        <is>
          <t>ALVESTA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46290</v>
      </c>
      <c r="F182" t="inlineStr">
        <is>
          <t>KRONOBERGS LÄN</t>
        </is>
      </c>
      <c r="G182" t="inlineStr">
        <is>
          <t>ALVESTA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44948</v>
      </c>
      <c r="E183" s="1" t="n">
        <v>46290</v>
      </c>
      <c r="F183" t="inlineStr">
        <is>
          <t>KRONOBERGS LÄN</t>
        </is>
      </c>
      <c r="G183" t="inlineStr">
        <is>
          <t>ALVESTA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46290</v>
      </c>
      <c r="F184" t="inlineStr">
        <is>
          <t>KRONOBERGS LÄN</t>
        </is>
      </c>
      <c r="G184" t="inlineStr">
        <is>
          <t>ALVESTA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45337</v>
      </c>
      <c r="E185" s="1" t="n">
        <v>46290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46290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45868</v>
      </c>
      <c r="E187" s="1" t="n">
        <v>46290</v>
      </c>
      <c r="F187" t="inlineStr">
        <is>
          <t>KRONOBERGS LÄN</t>
        </is>
      </c>
      <c r="G187" t="inlineStr">
        <is>
          <t>ALVESTA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45467</v>
      </c>
      <c r="E188" s="1" t="n">
        <v>46290</v>
      </c>
      <c r="F188" t="inlineStr">
        <is>
          <t>KRONOBERGS LÄN</t>
        </is>
      </c>
      <c r="G188" t="inlineStr">
        <is>
          <t>ALVESTA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46290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45300</v>
      </c>
      <c r="E190" s="1" t="n">
        <v>46290</v>
      </c>
      <c r="F190" t="inlineStr">
        <is>
          <t>KRONOBERGS LÄN</t>
        </is>
      </c>
      <c r="G190" t="inlineStr">
        <is>
          <t>ALVESTA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46290</v>
      </c>
      <c r="F191" t="inlineStr">
        <is>
          <t>KRONOBERGS LÄN</t>
        </is>
      </c>
      <c r="G191" t="inlineStr">
        <is>
          <t>ALVESTA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45173</v>
      </c>
      <c r="E192" s="1" t="n">
        <v>46290</v>
      </c>
      <c r="F192" t="inlineStr">
        <is>
          <t>KRONOBERGS LÄN</t>
        </is>
      </c>
      <c r="G192" t="inlineStr">
        <is>
          <t>ALVESTA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44911</v>
      </c>
      <c r="E193" s="1" t="n">
        <v>46290</v>
      </c>
      <c r="F193" t="inlineStr">
        <is>
          <t>KRONOBERGS LÄN</t>
        </is>
      </c>
      <c r="G193" t="inlineStr">
        <is>
          <t>ALVESTA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46290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45128</v>
      </c>
      <c r="E195" s="1" t="n">
        <v>46290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46290</v>
      </c>
      <c r="F196" t="inlineStr">
        <is>
          <t>KRONOBERGS LÄN</t>
        </is>
      </c>
      <c r="G196" t="inlineStr">
        <is>
          <t>ALVESTA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46290</v>
      </c>
      <c r="F197" t="inlineStr">
        <is>
          <t>KRONOBERGS LÄN</t>
        </is>
      </c>
      <c r="G197" t="inlineStr">
        <is>
          <t>ALVESTA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45875</v>
      </c>
      <c r="E198" s="1" t="n">
        <v>46290</v>
      </c>
      <c r="F198" t="inlineStr">
        <is>
          <t>KRONOBERGS LÄN</t>
        </is>
      </c>
      <c r="G198" t="inlineStr">
        <is>
          <t>ALVESTA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46290</v>
      </c>
      <c r="F199" t="inlineStr">
        <is>
          <t>KRONOBERGS LÄN</t>
        </is>
      </c>
      <c r="G199" t="inlineStr">
        <is>
          <t>ALVESTA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45447</v>
      </c>
      <c r="E200" s="1" t="n">
        <v>46290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46290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45105</v>
      </c>
      <c r="E202" s="1" t="n">
        <v>46290</v>
      </c>
      <c r="F202" t="inlineStr">
        <is>
          <t>KRONOBERGS LÄN</t>
        </is>
      </c>
      <c r="G202" t="inlineStr">
        <is>
          <t>ALVESTA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46290</v>
      </c>
      <c r="F203" t="inlineStr">
        <is>
          <t>KRONOBERGS LÄN</t>
        </is>
      </c>
      <c r="G203" t="inlineStr">
        <is>
          <t>ALVESTA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67331-2021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44523</v>
      </c>
      <c r="E204" s="1" t="n">
        <v>46290</v>
      </c>
      <c r="F204" t="inlineStr">
        <is>
          <t>KRONOBERGS LÄN</t>
        </is>
      </c>
      <c r="G204" t="inlineStr">
        <is>
          <t>ALVESTA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46290</v>
      </c>
      <c r="F205" t="inlineStr">
        <is>
          <t>KRONOBERGS LÄN</t>
        </is>
      </c>
      <c r="G205" t="inlineStr">
        <is>
          <t>ALVESTA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45678</v>
      </c>
      <c r="E206" s="1" t="n">
        <v>46290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46290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46290</v>
      </c>
      <c r="F208" t="inlineStr">
        <is>
          <t>KRONOBERGS LÄN</t>
        </is>
      </c>
      <c r="G208" t="inlineStr">
        <is>
          <t>ALVESTA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46290</v>
      </c>
      <c r="F209" t="inlineStr">
        <is>
          <t>KRONOBERGS LÄN</t>
        </is>
      </c>
      <c r="G209" t="inlineStr">
        <is>
          <t>ALVESTA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46290</v>
      </c>
      <c r="F210" t="inlineStr">
        <is>
          <t>KRONOBERGS LÄN</t>
        </is>
      </c>
      <c r="G210" t="inlineStr">
        <is>
          <t>ALVESTA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46290</v>
      </c>
      <c r="F211" t="inlineStr">
        <is>
          <t>KRONOBERGS LÄN</t>
        </is>
      </c>
      <c r="G211" t="inlineStr">
        <is>
          <t>ALVESTA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45517</v>
      </c>
      <c r="E212" s="1" t="n">
        <v>46290</v>
      </c>
      <c r="F212" t="inlineStr">
        <is>
          <t>KRONOBERGS LÄN</t>
        </is>
      </c>
      <c r="G212" t="inlineStr">
        <is>
          <t>ALVESTA</t>
        </is>
      </c>
      <c r="H212" t="inlineStr">
        <is>
          <t>Kyrkan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46290</v>
      </c>
      <c r="F213" t="inlineStr">
        <is>
          <t>KRONOBERGS LÄN</t>
        </is>
      </c>
      <c r="G213" t="inlineStr">
        <is>
          <t>ALVESTA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60478-2023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45259</v>
      </c>
      <c r="E214" s="1" t="n">
        <v>46290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43959-2022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44838</v>
      </c>
      <c r="E215" s="1" t="n">
        <v>46290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46290</v>
      </c>
      <c r="F216" t="inlineStr">
        <is>
          <t>KRONOBERGS LÄN</t>
        </is>
      </c>
      <c r="G216" t="inlineStr">
        <is>
          <t>ALVESTA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46290</v>
      </c>
      <c r="F217" t="inlineStr">
        <is>
          <t>KRONOBERGS LÄN</t>
        </is>
      </c>
      <c r="G217" t="inlineStr">
        <is>
          <t>ALVESTA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44951</v>
      </c>
      <c r="E218" s="1" t="n">
        <v>46290</v>
      </c>
      <c r="F218" t="inlineStr">
        <is>
          <t>KRONOBERGS LÄN</t>
        </is>
      </c>
      <c r="G218" t="inlineStr">
        <is>
          <t>ALVESTA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46290</v>
      </c>
      <c r="F219" t="inlineStr">
        <is>
          <t>KRONOBERGS LÄN</t>
        </is>
      </c>
      <c r="G219" t="inlineStr">
        <is>
          <t>ALVESTA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46290</v>
      </c>
      <c r="F220" t="inlineStr">
        <is>
          <t>KRONOBERGS LÄN</t>
        </is>
      </c>
      <c r="G220" t="inlineStr">
        <is>
          <t>ALVESTA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46290</v>
      </c>
      <c r="F221" t="inlineStr">
        <is>
          <t>KRONOBERGS LÄN</t>
        </is>
      </c>
      <c r="G221" t="inlineStr">
        <is>
          <t>ALVESTA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46290</v>
      </c>
      <c r="F222" t="inlineStr">
        <is>
          <t>KRONOBERGS LÄN</t>
        </is>
      </c>
      <c r="G222" t="inlineStr">
        <is>
          <t>ALVESTA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46290</v>
      </c>
      <c r="F223" t="inlineStr">
        <is>
          <t>KRONOBERGS LÄN</t>
        </is>
      </c>
      <c r="G223" t="inlineStr">
        <is>
          <t>ALVESTA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45596</v>
      </c>
      <c r="E224" s="1" t="n">
        <v>46290</v>
      </c>
      <c r="F224" t="inlineStr">
        <is>
          <t>KRONOBERGS LÄN</t>
        </is>
      </c>
      <c r="G224" t="inlineStr">
        <is>
          <t>ALVESTA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46290</v>
      </c>
      <c r="F225" t="inlineStr">
        <is>
          <t>KRONOBERGS LÄN</t>
        </is>
      </c>
      <c r="G225" t="inlineStr">
        <is>
          <t>ALVESTA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46290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42194-2025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45904</v>
      </c>
      <c r="E227" s="1" t="n">
        <v>46290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45462</v>
      </c>
      <c r="E228" s="1" t="n">
        <v>46290</v>
      </c>
      <c r="F228" t="inlineStr">
        <is>
          <t>KRONOBERGS LÄN</t>
        </is>
      </c>
      <c r="G228" t="inlineStr">
        <is>
          <t>ALVESTA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45217</v>
      </c>
      <c r="E229" s="1" t="n">
        <v>46290</v>
      </c>
      <c r="F229" t="inlineStr">
        <is>
          <t>KRONOBERGS LÄN</t>
        </is>
      </c>
      <c r="G229" t="inlineStr">
        <is>
          <t>ALVESTA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46290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45095</v>
      </c>
      <c r="E231" s="1" t="n">
        <v>46290</v>
      </c>
      <c r="F231" t="inlineStr">
        <is>
          <t>KRONOBERGS LÄN</t>
        </is>
      </c>
      <c r="G231" t="inlineStr">
        <is>
          <t>ALVESTA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46290</v>
      </c>
      <c r="F232" t="inlineStr">
        <is>
          <t>KRONOBERGS LÄN</t>
        </is>
      </c>
      <c r="G232" t="inlineStr">
        <is>
          <t>ALVESTA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45563</v>
      </c>
      <c r="E233" s="1" t="n">
        <v>46290</v>
      </c>
      <c r="F233" t="inlineStr">
        <is>
          <t>KRONOBERGS LÄN</t>
        </is>
      </c>
      <c r="G233" t="inlineStr">
        <is>
          <t>ALVESTA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46290</v>
      </c>
      <c r="F234" t="inlineStr">
        <is>
          <t>KRONOBERGS LÄN</t>
        </is>
      </c>
      <c r="G234" t="inlineStr">
        <is>
          <t>ALVESTA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46290</v>
      </c>
      <c r="F235" t="inlineStr">
        <is>
          <t>KRONOBERGS LÄN</t>
        </is>
      </c>
      <c r="G235" t="inlineStr">
        <is>
          <t>ALVESTA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45106</v>
      </c>
      <c r="E236" s="1" t="n">
        <v>46290</v>
      </c>
      <c r="F236" t="inlineStr">
        <is>
          <t>KRONOBERGS LÄN</t>
        </is>
      </c>
      <c r="G236" t="inlineStr">
        <is>
          <t>ALVESTA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46290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46290</v>
      </c>
      <c r="F238" t="inlineStr">
        <is>
          <t>KRONOBERGS LÄN</t>
        </is>
      </c>
      <c r="G238" t="inlineStr">
        <is>
          <t>ALVESTA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46290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45390</v>
      </c>
      <c r="E240" s="1" t="n">
        <v>46290</v>
      </c>
      <c r="F240" t="inlineStr">
        <is>
          <t>KRONOBERGS LÄN</t>
        </is>
      </c>
      <c r="G240" t="inlineStr">
        <is>
          <t>ALVESTA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56552-2021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44480</v>
      </c>
      <c r="E241" s="1" t="n">
        <v>46290</v>
      </c>
      <c r="F241" t="inlineStr">
        <is>
          <t>KRONOBERGS LÄN</t>
        </is>
      </c>
      <c r="G241" t="inlineStr">
        <is>
          <t>ALVESTA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46290</v>
      </c>
      <c r="F242" t="inlineStr">
        <is>
          <t>KRONOBERGS LÄN</t>
        </is>
      </c>
      <c r="G242" t="inlineStr">
        <is>
          <t>ALVESTA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44528-2025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45916</v>
      </c>
      <c r="E243" s="1" t="n">
        <v>46290</v>
      </c>
      <c r="F243" t="inlineStr">
        <is>
          <t>KRONOBERGS LÄN</t>
        </is>
      </c>
      <c r="G243" t="inlineStr">
        <is>
          <t>ALVESTA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46290</v>
      </c>
      <c r="F244" t="inlineStr">
        <is>
          <t>KRONOBERGS LÄN</t>
        </is>
      </c>
      <c r="G244" t="inlineStr">
        <is>
          <t>ALVESTA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46290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25297-2023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45086</v>
      </c>
      <c r="E246" s="1" t="n">
        <v>46290</v>
      </c>
      <c r="F246" t="inlineStr">
        <is>
          <t>KRONOBERGS LÄN</t>
        </is>
      </c>
      <c r="G246" t="inlineStr">
        <is>
          <t>ALVESTA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45009</v>
      </c>
      <c r="E247" s="1" t="n">
        <v>46290</v>
      </c>
      <c r="F247" t="inlineStr">
        <is>
          <t>KRONOBERGS LÄN</t>
        </is>
      </c>
      <c r="G247" t="inlineStr">
        <is>
          <t>ALVESTA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44670</v>
      </c>
      <c r="E248" s="1" t="n">
        <v>46290</v>
      </c>
      <c r="F248" t="inlineStr">
        <is>
          <t>KRONOBERGS LÄN</t>
        </is>
      </c>
      <c r="G248" t="inlineStr">
        <is>
          <t>ALVESTA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45860</v>
      </c>
      <c r="E249" s="1" t="n">
        <v>46290</v>
      </c>
      <c r="F249" t="inlineStr">
        <is>
          <t>KRONOBERGS LÄN</t>
        </is>
      </c>
      <c r="G249" t="inlineStr">
        <is>
          <t>ALVESTA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46290</v>
      </c>
      <c r="F250" t="inlineStr">
        <is>
          <t>KRONOBERGS LÄN</t>
        </is>
      </c>
      <c r="G250" t="inlineStr">
        <is>
          <t>ALVESTA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46058</v>
      </c>
      <c r="E251" s="1" t="n">
        <v>46290</v>
      </c>
      <c r="F251" t="inlineStr">
        <is>
          <t>KRONOBERGS LÄN</t>
        </is>
      </c>
      <c r="G251" t="inlineStr">
        <is>
          <t>ALVESTA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46290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46290</v>
      </c>
      <c r="F253" t="inlineStr">
        <is>
          <t>KRONOBERGS LÄN</t>
        </is>
      </c>
      <c r="G253" t="inlineStr">
        <is>
          <t>ALVESTA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46290</v>
      </c>
      <c r="F254" t="inlineStr">
        <is>
          <t>KRONOBERGS LÄN</t>
        </is>
      </c>
      <c r="G254" t="inlineStr">
        <is>
          <t>ALVESTA</t>
        </is>
      </c>
      <c r="H254" t="inlineStr">
        <is>
          <t>Kommuner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46290</v>
      </c>
      <c r="F255" t="inlineStr">
        <is>
          <t>KRONOBERGS LÄN</t>
        </is>
      </c>
      <c r="G255" t="inlineStr">
        <is>
          <t>ALVESTA</t>
        </is>
      </c>
      <c r="H255" t="inlineStr">
        <is>
          <t>Kommuner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46290</v>
      </c>
      <c r="F256" t="inlineStr">
        <is>
          <t>KRONOBERGS LÄN</t>
        </is>
      </c>
      <c r="G256" t="inlineStr">
        <is>
          <t>ALVESTA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45635</v>
      </c>
      <c r="E257" s="1" t="n">
        <v>46290</v>
      </c>
      <c r="F257" t="inlineStr">
        <is>
          <t>KRONOBERGS LÄN</t>
        </is>
      </c>
      <c r="G257" t="inlineStr">
        <is>
          <t>ALVESTA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9822-2022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44620</v>
      </c>
      <c r="E258" s="1" t="n">
        <v>46290</v>
      </c>
      <c r="F258" t="inlineStr">
        <is>
          <t>KRONOBERGS LÄN</t>
        </is>
      </c>
      <c r="G258" t="inlineStr">
        <is>
          <t>ALVESTA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46290</v>
      </c>
      <c r="F259" t="inlineStr">
        <is>
          <t>KRONOBERGS LÄN</t>
        </is>
      </c>
      <c r="G259" t="inlineStr">
        <is>
          <t>ALVESTA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46290</v>
      </c>
      <c r="F260" t="inlineStr">
        <is>
          <t>KRONOBERGS LÄN</t>
        </is>
      </c>
      <c r="G260" t="inlineStr">
        <is>
          <t>ALVESTA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46290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45884</v>
      </c>
      <c r="E262" s="1" t="n">
        <v>46290</v>
      </c>
      <c r="F262" t="inlineStr">
        <is>
          <t>KRONOBERGS LÄN</t>
        </is>
      </c>
      <c r="G262" t="inlineStr">
        <is>
          <t>ALVESTA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45538</v>
      </c>
      <c r="E263" s="1" t="n">
        <v>46290</v>
      </c>
      <c r="F263" t="inlineStr">
        <is>
          <t>KRONOBERGS LÄN</t>
        </is>
      </c>
      <c r="G263" t="inlineStr">
        <is>
          <t>ALVESTA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46290</v>
      </c>
      <c r="F264" t="inlineStr">
        <is>
          <t>KRONOBERGS LÄN</t>
        </is>
      </c>
      <c r="G264" t="inlineStr">
        <is>
          <t>ALVESTA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39307-2023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45166</v>
      </c>
      <c r="E265" s="1" t="n">
        <v>46290</v>
      </c>
      <c r="F265" t="inlineStr">
        <is>
          <t>KRONOBERGS LÄN</t>
        </is>
      </c>
      <c r="G265" t="inlineStr">
        <is>
          <t>ALVESTA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45548</v>
      </c>
      <c r="E266" s="1" t="n">
        <v>46290</v>
      </c>
      <c r="F266" t="inlineStr">
        <is>
          <t>KRONOBERGS LÄN</t>
        </is>
      </c>
      <c r="G266" t="inlineStr">
        <is>
          <t>ALVESTA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46290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46290</v>
      </c>
      <c r="F268" t="inlineStr">
        <is>
          <t>KRONOBERGS LÄN</t>
        </is>
      </c>
      <c r="G268" t="inlineStr">
        <is>
          <t>ALVESTA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46290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42976-2025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46290</v>
      </c>
      <c r="F270" t="inlineStr">
        <is>
          <t>KRONOBERGS LÄN</t>
        </is>
      </c>
      <c r="G270" t="inlineStr">
        <is>
          <t>ALVESTA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45105</v>
      </c>
      <c r="E271" s="1" t="n">
        <v>46290</v>
      </c>
      <c r="F271" t="inlineStr">
        <is>
          <t>KRONOBERGS LÄN</t>
        </is>
      </c>
      <c r="G271" t="inlineStr">
        <is>
          <t>ALVESTA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45666</v>
      </c>
      <c r="E272" s="1" t="n">
        <v>46290</v>
      </c>
      <c r="F272" t="inlineStr">
        <is>
          <t>KRONOBERGS LÄN</t>
        </is>
      </c>
      <c r="G272" t="inlineStr">
        <is>
          <t>ALVESTA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45856</v>
      </c>
      <c r="E273" s="1" t="n">
        <v>46290</v>
      </c>
      <c r="F273" t="inlineStr">
        <is>
          <t>KRONOBERGS LÄN</t>
        </is>
      </c>
      <c r="G273" t="inlineStr">
        <is>
          <t>ALVESTA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45858</v>
      </c>
      <c r="E274" s="1" t="n">
        <v>46290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46290</v>
      </c>
      <c r="F275" t="inlineStr">
        <is>
          <t>KRONOBERGS LÄN</t>
        </is>
      </c>
      <c r="G275" t="inlineStr">
        <is>
          <t>ALVESTA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46290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46290</v>
      </c>
      <c r="F277" t="inlineStr">
        <is>
          <t>KRONOBERGS LÄN</t>
        </is>
      </c>
      <c r="G277" t="inlineStr">
        <is>
          <t>ALVESTA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46290</v>
      </c>
      <c r="F278" t="inlineStr">
        <is>
          <t>KRONOBERGS LÄN</t>
        </is>
      </c>
      <c r="G278" t="inlineStr">
        <is>
          <t>ALVESTA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38875-2022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44816</v>
      </c>
      <c r="E279" s="1" t="n">
        <v>46290</v>
      </c>
      <c r="F279" t="inlineStr">
        <is>
          <t>KRONOBERGS LÄN</t>
        </is>
      </c>
      <c r="G279" t="inlineStr">
        <is>
          <t>ALVESTA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35729-2024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46290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46290</v>
      </c>
      <c r="F281" t="inlineStr">
        <is>
          <t>KRONOBERGS LÄN</t>
        </is>
      </c>
      <c r="G281" t="inlineStr">
        <is>
          <t>ALVESTA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45217</v>
      </c>
      <c r="E282" s="1" t="n">
        <v>46290</v>
      </c>
      <c r="F282" t="inlineStr">
        <is>
          <t>KRONOBERGS LÄN</t>
        </is>
      </c>
      <c r="G282" t="inlineStr">
        <is>
          <t>ALVESTA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45336</v>
      </c>
      <c r="E283" s="1" t="n">
        <v>46290</v>
      </c>
      <c r="F283" t="inlineStr">
        <is>
          <t>KRONOBERGS LÄN</t>
        </is>
      </c>
      <c r="G283" t="inlineStr">
        <is>
          <t>ALVESTA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46290</v>
      </c>
      <c r="F284" t="inlineStr">
        <is>
          <t>KRONOBERGS LÄN</t>
        </is>
      </c>
      <c r="G284" t="inlineStr">
        <is>
          <t>ALVESTA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45482</v>
      </c>
      <c r="E285" s="1" t="n">
        <v>46290</v>
      </c>
      <c r="F285" t="inlineStr">
        <is>
          <t>KRONOBERGS LÄN</t>
        </is>
      </c>
      <c r="G285" t="inlineStr">
        <is>
          <t>ALVESTA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45349</v>
      </c>
      <c r="E286" s="1" t="n">
        <v>46290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46290</v>
      </c>
      <c r="F287" t="inlineStr">
        <is>
          <t>KRONOBERGS LÄN</t>
        </is>
      </c>
      <c r="G287" t="inlineStr">
        <is>
          <t>ALVESTA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46290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46290</v>
      </c>
      <c r="F289" t="inlineStr">
        <is>
          <t>KRONOBERGS LÄN</t>
        </is>
      </c>
      <c r="G289" t="inlineStr">
        <is>
          <t>ALVESTA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46290</v>
      </c>
      <c r="F290" t="inlineStr">
        <is>
          <t>KRONOBERGS LÄN</t>
        </is>
      </c>
      <c r="G290" t="inlineStr">
        <is>
          <t>ALVESTA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46290</v>
      </c>
      <c r="F291" t="inlineStr">
        <is>
          <t>KRONOBERGS LÄN</t>
        </is>
      </c>
      <c r="G291" t="inlineStr">
        <is>
          <t>ALVESTA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45512</v>
      </c>
      <c r="E292" s="1" t="n">
        <v>46290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54404-2025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46290</v>
      </c>
      <c r="F293" t="inlineStr">
        <is>
          <t>KRONOBERGS LÄN</t>
        </is>
      </c>
      <c r="G293" t="inlineStr">
        <is>
          <t>ALVESTA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45840</v>
      </c>
      <c r="E294" s="1" t="n">
        <v>46290</v>
      </c>
      <c r="F294" t="inlineStr">
        <is>
          <t>KRONOBERGS LÄN</t>
        </is>
      </c>
      <c r="G294" t="inlineStr">
        <is>
          <t>ALVESTA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46290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45356</v>
      </c>
      <c r="E296" s="1" t="n">
        <v>46290</v>
      </c>
      <c r="F296" t="inlineStr">
        <is>
          <t>KRONOBERGS LÄN</t>
        </is>
      </c>
      <c r="G296" t="inlineStr">
        <is>
          <t>ALVESTA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45426</v>
      </c>
      <c r="E297" s="1" t="n">
        <v>46290</v>
      </c>
      <c r="F297" t="inlineStr">
        <is>
          <t>KRONOBERGS LÄN</t>
        </is>
      </c>
      <c r="G297" t="inlineStr">
        <is>
          <t>ALVESTA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44881</v>
      </c>
      <c r="E298" s="1" t="n">
        <v>46290</v>
      </c>
      <c r="F298" t="inlineStr">
        <is>
          <t>KRONOBERGS LÄN</t>
        </is>
      </c>
      <c r="G298" t="inlineStr">
        <is>
          <t>ALVESTA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46290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46290</v>
      </c>
      <c r="F300" t="inlineStr">
        <is>
          <t>KRONOBERGS LÄN</t>
        </is>
      </c>
      <c r="G300" t="inlineStr">
        <is>
          <t>ALVESTA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46290</v>
      </c>
      <c r="F301" t="inlineStr">
        <is>
          <t>KRONOBERGS LÄN</t>
        </is>
      </c>
      <c r="G301" t="inlineStr">
        <is>
          <t>ALVESTA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46290</v>
      </c>
      <c r="F302" t="inlineStr">
        <is>
          <t>KRONOBERGS LÄN</t>
        </is>
      </c>
      <c r="G302" t="inlineStr">
        <is>
          <t>ALVESTA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46290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45608</v>
      </c>
      <c r="E304" s="1" t="n">
        <v>46290</v>
      </c>
      <c r="F304" t="inlineStr">
        <is>
          <t>KRONOBERGS LÄN</t>
        </is>
      </c>
      <c r="G304" t="inlineStr">
        <is>
          <t>ALVESTA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46290</v>
      </c>
      <c r="F305" t="inlineStr">
        <is>
          <t>KRONOBERGS LÄN</t>
        </is>
      </c>
      <c r="G305" t="inlineStr">
        <is>
          <t>ALVESTA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46290</v>
      </c>
      <c r="F306" t="inlineStr">
        <is>
          <t>KRONOBERGS LÄN</t>
        </is>
      </c>
      <c r="G306" t="inlineStr">
        <is>
          <t>ALVESTA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45075</v>
      </c>
      <c r="E307" s="1" t="n">
        <v>46290</v>
      </c>
      <c r="F307" t="inlineStr">
        <is>
          <t>KRONOBERGS LÄN</t>
        </is>
      </c>
      <c r="G307" t="inlineStr">
        <is>
          <t>ALVESTA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45407</v>
      </c>
      <c r="E308" s="1" t="n">
        <v>46290</v>
      </c>
      <c r="F308" t="inlineStr">
        <is>
          <t>KRONOBERGS LÄN</t>
        </is>
      </c>
      <c r="G308" t="inlineStr">
        <is>
          <t>ALVESTA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44978</v>
      </c>
      <c r="E309" s="1" t="n">
        <v>46290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45418</v>
      </c>
      <c r="E310" s="1" t="n">
        <v>46290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45418</v>
      </c>
      <c r="E311" s="1" t="n">
        <v>46290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46290</v>
      </c>
      <c r="F312" t="inlineStr">
        <is>
          <t>KRONOBERGS LÄN</t>
        </is>
      </c>
      <c r="G312" t="inlineStr">
        <is>
          <t>ALVESTA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46290</v>
      </c>
      <c r="F313" t="inlineStr">
        <is>
          <t>KRONOBERGS LÄN</t>
        </is>
      </c>
      <c r="G313" t="inlineStr">
        <is>
          <t>ALVESTA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46290</v>
      </c>
      <c r="F314" t="inlineStr">
        <is>
          <t>KRONOBERGS LÄN</t>
        </is>
      </c>
      <c r="G314" t="inlineStr">
        <is>
          <t>ALVESTA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45296</v>
      </c>
      <c r="E315" s="1" t="n">
        <v>46290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46290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46290</v>
      </c>
      <c r="F317" t="inlineStr">
        <is>
          <t>KRONOBERGS LÄN</t>
        </is>
      </c>
      <c r="G317" t="inlineStr">
        <is>
          <t>ALVESTA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46290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46290</v>
      </c>
      <c r="F319" t="inlineStr">
        <is>
          <t>KRONOBERGS LÄN</t>
        </is>
      </c>
      <c r="G319" t="inlineStr">
        <is>
          <t>ALVESTA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45418</v>
      </c>
      <c r="E320" s="1" t="n">
        <v>46290</v>
      </c>
      <c r="F320" t="inlineStr">
        <is>
          <t>KRONOBERGS LÄN</t>
        </is>
      </c>
      <c r="G320" t="inlineStr">
        <is>
          <t>ALVESTA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46290</v>
      </c>
      <c r="F321" t="inlineStr">
        <is>
          <t>KRONOBERGS LÄN</t>
        </is>
      </c>
      <c r="G321" t="inlineStr">
        <is>
          <t>ALVESTA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46290</v>
      </c>
      <c r="F322" t="inlineStr">
        <is>
          <t>KRONOBERGS LÄN</t>
        </is>
      </c>
      <c r="G322" t="inlineStr">
        <is>
          <t>ALVESTA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46290</v>
      </c>
      <c r="F323" t="inlineStr">
        <is>
          <t>KRONOBERGS LÄN</t>
        </is>
      </c>
      <c r="G323" t="inlineStr">
        <is>
          <t>ALVESTA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46290</v>
      </c>
      <c r="F324" t="inlineStr">
        <is>
          <t>KRONOBERGS LÄN</t>
        </is>
      </c>
      <c r="G324" t="inlineStr">
        <is>
          <t>ALVESTA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46290</v>
      </c>
      <c r="F325" t="inlineStr">
        <is>
          <t>KRONOBERGS LÄN</t>
        </is>
      </c>
      <c r="G325" t="inlineStr">
        <is>
          <t>ALVESTA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46290</v>
      </c>
      <c r="F326" t="inlineStr">
        <is>
          <t>KRONOBERGS LÄN</t>
        </is>
      </c>
      <c r="G326" t="inlineStr">
        <is>
          <t>ALVESTA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45996</v>
      </c>
      <c r="E327" s="1" t="n">
        <v>46290</v>
      </c>
      <c r="F327" t="inlineStr">
        <is>
          <t>KRONOBERGS LÄN</t>
        </is>
      </c>
      <c r="G327" t="inlineStr">
        <is>
          <t>ALVESTA</t>
        </is>
      </c>
      <c r="H327" t="inlineStr">
        <is>
          <t>Kyrkan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60700-2025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45996</v>
      </c>
      <c r="E328" s="1" t="n">
        <v>46290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65092-2023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45288</v>
      </c>
      <c r="E329" s="1" t="n">
        <v>46290</v>
      </c>
      <c r="F329" t="inlineStr">
        <is>
          <t>KRONOBERGS LÄN</t>
        </is>
      </c>
      <c r="G329" t="inlineStr">
        <is>
          <t>ALVESTA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46290</v>
      </c>
      <c r="F330" t="inlineStr">
        <is>
          <t>KRONOBERGS LÄN</t>
        </is>
      </c>
      <c r="G330" t="inlineStr">
        <is>
          <t>ALVESTA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45359</v>
      </c>
      <c r="E331" s="1" t="n">
        <v>46290</v>
      </c>
      <c r="F331" t="inlineStr">
        <is>
          <t>KRONOBERGS LÄN</t>
        </is>
      </c>
      <c r="G331" t="inlineStr">
        <is>
          <t>ALVESTA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52040-2024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46290</v>
      </c>
      <c r="F332" t="inlineStr">
        <is>
          <t>KRONOBERGS LÄN</t>
        </is>
      </c>
      <c r="G332" t="inlineStr">
        <is>
          <t>ALVESTA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62744-2025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46008</v>
      </c>
      <c r="E333" s="1" t="n">
        <v>46290</v>
      </c>
      <c r="F333" t="inlineStr">
        <is>
          <t>KRONOBERGS LÄN</t>
        </is>
      </c>
      <c r="G333" t="inlineStr">
        <is>
          <t>ALVESTA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40612-2025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45896</v>
      </c>
      <c r="E334" s="1" t="n">
        <v>46290</v>
      </c>
      <c r="F334" t="inlineStr">
        <is>
          <t>KRONOBERGS LÄN</t>
        </is>
      </c>
      <c r="G334" t="inlineStr">
        <is>
          <t>ALVESTA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45414</v>
      </c>
      <c r="E335" s="1" t="n">
        <v>46290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45478</v>
      </c>
      <c r="E336" s="1" t="n">
        <v>46290</v>
      </c>
      <c r="F336" t="inlineStr">
        <is>
          <t>KRONOBERGS LÄN</t>
        </is>
      </c>
      <c r="G336" t="inlineStr">
        <is>
          <t>ALVESTA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45362</v>
      </c>
      <c r="E337" s="1" t="n">
        <v>46290</v>
      </c>
      <c r="F337" t="inlineStr">
        <is>
          <t>KRONOBERGS LÄN</t>
        </is>
      </c>
      <c r="G337" t="inlineStr">
        <is>
          <t>ALVESTA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46290</v>
      </c>
      <c r="F338" t="inlineStr">
        <is>
          <t>KRONOBERGS LÄN</t>
        </is>
      </c>
      <c r="G338" t="inlineStr">
        <is>
          <t>ALVESTA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46290</v>
      </c>
      <c r="F339" t="inlineStr">
        <is>
          <t>KRONOBERGS LÄN</t>
        </is>
      </c>
      <c r="G339" t="inlineStr">
        <is>
          <t>ALVESTA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46290</v>
      </c>
      <c r="F340" t="inlineStr">
        <is>
          <t>KRONOBERGS LÄN</t>
        </is>
      </c>
      <c r="G340" t="inlineStr">
        <is>
          <t>ALVESTA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11912-2022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44635</v>
      </c>
      <c r="E341" s="1" t="n">
        <v>46290</v>
      </c>
      <c r="F341" t="inlineStr">
        <is>
          <t>KRONOBERGS LÄN</t>
        </is>
      </c>
      <c r="G341" t="inlineStr">
        <is>
          <t>ALVESTA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45342</v>
      </c>
      <c r="E342" s="1" t="n">
        <v>46290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45854</v>
      </c>
      <c r="E343" s="1" t="n">
        <v>46290</v>
      </c>
      <c r="F343" t="inlineStr">
        <is>
          <t>KRONOBERGS LÄN</t>
        </is>
      </c>
      <c r="G343" t="inlineStr">
        <is>
          <t>ALVESTA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45136</v>
      </c>
      <c r="E344" s="1" t="n">
        <v>46290</v>
      </c>
      <c r="F344" t="inlineStr">
        <is>
          <t>KRONOBERGS LÄN</t>
        </is>
      </c>
      <c r="G344" t="inlineStr">
        <is>
          <t>ALVESTA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45949</v>
      </c>
      <c r="E345" s="1" t="n">
        <v>46290</v>
      </c>
      <c r="F345" t="inlineStr">
        <is>
          <t>KRONOBERGS LÄN</t>
        </is>
      </c>
      <c r="G345" t="inlineStr">
        <is>
          <t>ALVESTA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45341</v>
      </c>
      <c r="E346" s="1" t="n">
        <v>46290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10860-2025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45722</v>
      </c>
      <c r="E347" s="1" t="n">
        <v>46290</v>
      </c>
      <c r="F347" t="inlineStr">
        <is>
          <t>KRONOBERGS LÄN</t>
        </is>
      </c>
      <c r="G347" t="inlineStr">
        <is>
          <t>ALVESTA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46290</v>
      </c>
      <c r="F348" t="inlineStr">
        <is>
          <t>KRONOBERGS LÄN</t>
        </is>
      </c>
      <c r="G348" t="inlineStr">
        <is>
          <t>ALVESTA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53425-2025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46290</v>
      </c>
      <c r="F349" t="inlineStr">
        <is>
          <t>KRONOBERGS LÄN</t>
        </is>
      </c>
      <c r="G349" t="inlineStr">
        <is>
          <t>ALVESTA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45320</v>
      </c>
      <c r="E350" s="1" t="n">
        <v>46290</v>
      </c>
      <c r="F350" t="inlineStr">
        <is>
          <t>KRONOBERGS LÄN</t>
        </is>
      </c>
      <c r="G350" t="inlineStr">
        <is>
          <t>ALVESTA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14969-2022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44657</v>
      </c>
      <c r="E351" s="1" t="n">
        <v>46290</v>
      </c>
      <c r="F351" t="inlineStr">
        <is>
          <t>KRONOBERGS LÄN</t>
        </is>
      </c>
      <c r="G351" t="inlineStr">
        <is>
          <t>ALVESTA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60760-2022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44914</v>
      </c>
      <c r="E352" s="1" t="n">
        <v>46290</v>
      </c>
      <c r="F352" t="inlineStr">
        <is>
          <t>KRONOBERGS LÄN</t>
        </is>
      </c>
      <c r="G352" t="inlineStr">
        <is>
          <t>ALVESTA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45128</v>
      </c>
      <c r="E353" s="1" t="n">
        <v>46290</v>
      </c>
      <c r="F353" t="inlineStr">
        <is>
          <t>KRONOBERGS LÄN</t>
        </is>
      </c>
      <c r="G353" t="inlineStr">
        <is>
          <t>ALVESTA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46290</v>
      </c>
      <c r="F354" t="inlineStr">
        <is>
          <t>KRONOBERGS LÄN</t>
        </is>
      </c>
      <c r="G354" t="inlineStr">
        <is>
          <t>ALVESTA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46290</v>
      </c>
      <c r="F355" t="inlineStr">
        <is>
          <t>KRONOBERGS LÄN</t>
        </is>
      </c>
      <c r="G355" t="inlineStr">
        <is>
          <t>ALVESTA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45692</v>
      </c>
      <c r="E356" s="1" t="n">
        <v>46290</v>
      </c>
      <c r="F356" t="inlineStr">
        <is>
          <t>KRONOBERGS LÄN</t>
        </is>
      </c>
      <c r="G356" t="inlineStr">
        <is>
          <t>ALVESTA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46290</v>
      </c>
      <c r="F357" t="inlineStr">
        <is>
          <t>KRONOBERGS LÄN</t>
        </is>
      </c>
      <c r="G357" t="inlineStr">
        <is>
          <t>ALVESTA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46290</v>
      </c>
      <c r="F358" t="inlineStr">
        <is>
          <t>KRONOBERGS LÄN</t>
        </is>
      </c>
      <c r="G358" t="inlineStr">
        <is>
          <t>ALVESTA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46290</v>
      </c>
      <c r="F359" t="inlineStr">
        <is>
          <t>KRONOBERGS LÄN</t>
        </is>
      </c>
      <c r="G359" t="inlineStr">
        <is>
          <t>ALVESTA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58648-2024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45635</v>
      </c>
      <c r="E360" s="1" t="n">
        <v>46290</v>
      </c>
      <c r="F360" t="inlineStr">
        <is>
          <t>KRONOBERGS LÄN</t>
        </is>
      </c>
      <c r="G360" t="inlineStr">
        <is>
          <t>ALVESTA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45338</v>
      </c>
      <c r="E361" s="1" t="n">
        <v>46290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46290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46290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46290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46290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45324</v>
      </c>
      <c r="E366" s="1" t="n">
        <v>46290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46290</v>
      </c>
      <c r="F367" t="inlineStr">
        <is>
          <t>KRONOBERGS LÄN</t>
        </is>
      </c>
      <c r="G367" t="inlineStr">
        <is>
          <t>ALVESTA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46290</v>
      </c>
      <c r="F368" t="inlineStr">
        <is>
          <t>KRONOBERGS LÄN</t>
        </is>
      </c>
      <c r="G368" t="inlineStr">
        <is>
          <t>ALVESTA</t>
        </is>
      </c>
      <c r="H368" t="inlineStr">
        <is>
          <t>Kyrkan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46290</v>
      </c>
      <c r="F369" t="inlineStr">
        <is>
          <t>KRONOBERGS LÄN</t>
        </is>
      </c>
      <c r="G369" t="inlineStr">
        <is>
          <t>ALVESTA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45771</v>
      </c>
      <c r="E370" s="1" t="n">
        <v>46290</v>
      </c>
      <c r="F370" t="inlineStr">
        <is>
          <t>KRONOBERGS LÄN</t>
        </is>
      </c>
      <c r="G370" t="inlineStr">
        <is>
          <t>ALVESTA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45771</v>
      </c>
      <c r="E371" s="1" t="n">
        <v>46290</v>
      </c>
      <c r="F371" t="inlineStr">
        <is>
          <t>KRONOBERGS LÄN</t>
        </is>
      </c>
      <c r="G371" t="inlineStr">
        <is>
          <t>ALVESTA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46290</v>
      </c>
      <c r="F372" t="inlineStr">
        <is>
          <t>KRONOBERGS LÄN</t>
        </is>
      </c>
      <c r="G372" t="inlineStr">
        <is>
          <t>ALVESTA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24419-2026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46169</v>
      </c>
      <c r="E373" s="1" t="n">
        <v>46290</v>
      </c>
      <c r="F373" t="inlineStr">
        <is>
          <t>KRONOBERGS LÄN</t>
        </is>
      </c>
      <c r="G373" t="inlineStr">
        <is>
          <t>ALVESTA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44873</v>
      </c>
      <c r="E374" s="1" t="n">
        <v>46290</v>
      </c>
      <c r="F374" t="inlineStr">
        <is>
          <t>KRONOBERGS LÄN</t>
        </is>
      </c>
      <c r="G374" t="inlineStr">
        <is>
          <t>ALVESTA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52103-2024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46290</v>
      </c>
      <c r="F375" t="inlineStr">
        <is>
          <t>KRONOBERGS LÄN</t>
        </is>
      </c>
      <c r="G375" t="inlineStr">
        <is>
          <t>ALVESTA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46290</v>
      </c>
      <c r="F376" t="inlineStr">
        <is>
          <t>KRONOBERGS LÄN</t>
        </is>
      </c>
      <c r="G376" t="inlineStr">
        <is>
          <t>ALVESTA</t>
        </is>
      </c>
      <c r="I376" t="n">
        <v>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46063</v>
      </c>
      <c r="E377" s="1" t="n">
        <v>46290</v>
      </c>
      <c r="F377" t="inlineStr">
        <is>
          <t>KRONOBERGS LÄN</t>
        </is>
      </c>
      <c r="G377" t="inlineStr">
        <is>
          <t>ALVESTA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24420-2026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46169</v>
      </c>
      <c r="E378" s="1" t="n">
        <v>46290</v>
      </c>
      <c r="F378" t="inlineStr">
        <is>
          <t>KRONOBERGS LÄN</t>
        </is>
      </c>
      <c r="G378" t="inlineStr">
        <is>
          <t>ALVESTA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46290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46290</v>
      </c>
      <c r="F380" t="inlineStr">
        <is>
          <t>KRONOBERGS LÄN</t>
        </is>
      </c>
      <c r="G380" t="inlineStr">
        <is>
          <t>ALVESTA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46064</v>
      </c>
      <c r="E381" s="1" t="n">
        <v>46290</v>
      </c>
      <c r="F381" t="inlineStr">
        <is>
          <t>KRONOBERGS LÄN</t>
        </is>
      </c>
      <c r="G381" t="inlineStr">
        <is>
          <t>ALVESTA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24443-2026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46290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45135</v>
      </c>
      <c r="E383" s="1" t="n">
        <v>46290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45090</v>
      </c>
      <c r="E384" s="1" t="n">
        <v>46290</v>
      </c>
      <c r="F384" t="inlineStr">
        <is>
          <t>KRONOBERGS LÄN</t>
        </is>
      </c>
      <c r="G384" t="inlineStr">
        <is>
          <t>ALVESTA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46290</v>
      </c>
      <c r="F385" t="inlineStr">
        <is>
          <t>KRONOBERGS LÄN</t>
        </is>
      </c>
      <c r="G385" t="inlineStr">
        <is>
          <t>ALVESTA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46290</v>
      </c>
      <c r="F386" t="inlineStr">
        <is>
          <t>KRONOBERGS LÄN</t>
        </is>
      </c>
      <c r="G386" t="inlineStr">
        <is>
          <t>ALVESTA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44805</v>
      </c>
      <c r="E387" s="1" t="n">
        <v>46290</v>
      </c>
      <c r="F387" t="inlineStr">
        <is>
          <t>KRONOBERGS LÄN</t>
        </is>
      </c>
      <c r="G387" t="inlineStr">
        <is>
          <t>ALVESTA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52110-2024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46290</v>
      </c>
      <c r="F388" t="inlineStr">
        <is>
          <t>KRONOBERGS LÄN</t>
        </is>
      </c>
      <c r="G388" t="inlineStr">
        <is>
          <t>ALVESTA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45547</v>
      </c>
      <c r="E389" s="1" t="n">
        <v>46290</v>
      </c>
      <c r="F389" t="inlineStr">
        <is>
          <t>KRONOBERGS LÄN</t>
        </is>
      </c>
      <c r="G389" t="inlineStr">
        <is>
          <t>ALVESTA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46290</v>
      </c>
      <c r="F390" t="inlineStr">
        <is>
          <t>KRONOBERGS LÄN</t>
        </is>
      </c>
      <c r="G390" t="inlineStr">
        <is>
          <t>ALVESTA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46290</v>
      </c>
      <c r="F391" t="inlineStr">
        <is>
          <t>KRONOBERGS LÄN</t>
        </is>
      </c>
      <c r="G391" t="inlineStr">
        <is>
          <t>ALVESTA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45254</v>
      </c>
      <c r="E392" s="1" t="n">
        <v>46290</v>
      </c>
      <c r="F392" t="inlineStr">
        <is>
          <t>KRONOBERGS LÄN</t>
        </is>
      </c>
      <c r="G392" t="inlineStr">
        <is>
          <t>ALVESTA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45349</v>
      </c>
      <c r="E393" s="1" t="n">
        <v>46290</v>
      </c>
      <c r="F393" t="inlineStr">
        <is>
          <t>KRONOBERGS LÄN</t>
        </is>
      </c>
      <c r="G393" t="inlineStr">
        <is>
          <t>ALVESTA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46290</v>
      </c>
      <c r="F394" t="inlineStr">
        <is>
          <t>KRONOBERGS LÄN</t>
        </is>
      </c>
      <c r="G394" t="inlineStr">
        <is>
          <t>ALVESTA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11601-2026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46290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11331-2026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46081</v>
      </c>
      <c r="E396" s="1" t="n">
        <v>46290</v>
      </c>
      <c r="F396" t="inlineStr">
        <is>
          <t>KRONOBERGS LÄN</t>
        </is>
      </c>
      <c r="G396" t="inlineStr">
        <is>
          <t>ALVESTA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46290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44893</v>
      </c>
      <c r="E398" s="1" t="n">
        <v>46290</v>
      </c>
      <c r="F398" t="inlineStr">
        <is>
          <t>KRONOBERGS LÄN</t>
        </is>
      </c>
      <c r="G398" t="inlineStr">
        <is>
          <t>ALVESTA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46290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24692-2026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46171</v>
      </c>
      <c r="E400" s="1" t="n">
        <v>46290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46290</v>
      </c>
      <c r="F401" t="inlineStr">
        <is>
          <t>KRONOBERGS LÄN</t>
        </is>
      </c>
      <c r="G401" t="inlineStr">
        <is>
          <t>ALVESTA</t>
        </is>
      </c>
      <c r="H401" t="inlineStr">
        <is>
          <t>Kommuner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12258-2026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46087</v>
      </c>
      <c r="E402" s="1" t="n">
        <v>46290</v>
      </c>
      <c r="F402" t="inlineStr">
        <is>
          <t>KRONOBERGS LÄN</t>
        </is>
      </c>
      <c r="G402" t="inlineStr">
        <is>
          <t>ALVESTA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46290</v>
      </c>
      <c r="F403" t="inlineStr">
        <is>
          <t>KRONOBERGS LÄN</t>
        </is>
      </c>
      <c r="G403" t="inlineStr">
        <is>
          <t>ALVESTA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12818-2025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45733</v>
      </c>
      <c r="E404" s="1" t="n">
        <v>46290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46290</v>
      </c>
      <c r="F405" t="inlineStr">
        <is>
          <t>KRONOBERGS LÄN</t>
        </is>
      </c>
      <c r="G405" t="inlineStr">
        <is>
          <t>ALVESTA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46290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46290</v>
      </c>
      <c r="F407" t="inlineStr">
        <is>
          <t>KRONOBERGS LÄN</t>
        </is>
      </c>
      <c r="G407" t="inlineStr">
        <is>
          <t>ALVESTA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20618-2024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45436</v>
      </c>
      <c r="E408" s="1" t="n">
        <v>46290</v>
      </c>
      <c r="F408" t="inlineStr">
        <is>
          <t>KRONOBERGS LÄN</t>
        </is>
      </c>
      <c r="G408" t="inlineStr">
        <is>
          <t>ALVESTA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42905-2023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46290</v>
      </c>
      <c r="F409" t="inlineStr">
        <is>
          <t>KRONOBERGS LÄN</t>
        </is>
      </c>
      <c r="G409" t="inlineStr">
        <is>
          <t>ALVESTA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28027-2024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45476</v>
      </c>
      <c r="E410" s="1" t="n">
        <v>46290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46290</v>
      </c>
      <c r="F411" t="inlineStr">
        <is>
          <t>KRONOBERGS LÄN</t>
        </is>
      </c>
      <c r="G411" t="inlineStr">
        <is>
          <t>ALVESTA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25567-2026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46177</v>
      </c>
      <c r="E412" s="1" t="n">
        <v>46290</v>
      </c>
      <c r="F412" t="inlineStr">
        <is>
          <t>KRONOBERGS LÄN</t>
        </is>
      </c>
      <c r="G412" t="inlineStr">
        <is>
          <t>ALVESTA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46290</v>
      </c>
      <c r="F413" t="inlineStr">
        <is>
          <t>KRONOBERGS LÄN</t>
        </is>
      </c>
      <c r="G413" t="inlineStr">
        <is>
          <t>ALVESTA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27077-2026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46186</v>
      </c>
      <c r="E414" s="1" t="n">
        <v>46290</v>
      </c>
      <c r="F414" t="inlineStr">
        <is>
          <t>KRONOBERGS LÄN</t>
        </is>
      </c>
      <c r="G414" t="inlineStr">
        <is>
          <t>ALVESTA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39263-2023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45166</v>
      </c>
      <c r="E415" s="1" t="n">
        <v>46290</v>
      </c>
      <c r="F415" t="inlineStr">
        <is>
          <t>KRONOBERGS LÄN</t>
        </is>
      </c>
      <c r="G415" t="inlineStr">
        <is>
          <t>ALVESTA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46290</v>
      </c>
      <c r="F416" t="inlineStr">
        <is>
          <t>KRONOBERGS LÄN</t>
        </is>
      </c>
      <c r="G416" t="inlineStr">
        <is>
          <t>ALVESTA</t>
        </is>
      </c>
      <c r="H416" t="inlineStr">
        <is>
          <t>Övriga Aktiebolag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46290</v>
      </c>
      <c r="F417" t="inlineStr">
        <is>
          <t>KRONOBERGS LÄN</t>
        </is>
      </c>
      <c r="G417" t="inlineStr">
        <is>
          <t>ALVESTA</t>
        </is>
      </c>
      <c r="H417" t="inlineStr">
        <is>
          <t>Övriga Aktiebolag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27032-2026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46185</v>
      </c>
      <c r="E418" s="1" t="n">
        <v>46290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46290</v>
      </c>
      <c r="F419" t="inlineStr">
        <is>
          <t>KRONOBERGS LÄN</t>
        </is>
      </c>
      <c r="G419" t="inlineStr">
        <is>
          <t>ALVESTA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44935</v>
      </c>
      <c r="E420" s="1" t="n">
        <v>46290</v>
      </c>
      <c r="F420" t="inlineStr">
        <is>
          <t>KRONOBERGS LÄN</t>
        </is>
      </c>
      <c r="G420" t="inlineStr">
        <is>
          <t>ALVESTA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26621-2022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46290</v>
      </c>
      <c r="F421" t="inlineStr">
        <is>
          <t>KRONOBERGS LÄN</t>
        </is>
      </c>
      <c r="G421" t="inlineStr">
        <is>
          <t>ALVESTA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46290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46290</v>
      </c>
      <c r="F423" t="inlineStr">
        <is>
          <t>KRONOBERGS LÄN</t>
        </is>
      </c>
      <c r="G423" t="inlineStr">
        <is>
          <t>ALVESTA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45719</v>
      </c>
      <c r="E424" s="1" t="n">
        <v>46290</v>
      </c>
      <c r="F424" t="inlineStr">
        <is>
          <t>KRONOBERGS LÄN</t>
        </is>
      </c>
      <c r="G424" t="inlineStr">
        <is>
          <t>ALVESTA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46290</v>
      </c>
      <c r="F425" t="inlineStr">
        <is>
          <t>KRONOBERGS LÄN</t>
        </is>
      </c>
      <c r="G425" t="inlineStr">
        <is>
          <t>ALVESTA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46290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46290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17823-2026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46122</v>
      </c>
      <c r="E428" s="1" t="n">
        <v>46290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46290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17801-2026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46122</v>
      </c>
      <c r="E430" s="1" t="n">
        <v>46290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45005</v>
      </c>
      <c r="E431" s="1" t="n">
        <v>46290</v>
      </c>
      <c r="F431" t="inlineStr">
        <is>
          <t>KRONOBERGS LÄN</t>
        </is>
      </c>
      <c r="G431" t="inlineStr">
        <is>
          <t>ALVESTA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46122</v>
      </c>
      <c r="E432" s="1" t="n">
        <v>46290</v>
      </c>
      <c r="F432" t="inlineStr">
        <is>
          <t>KRONOBERGS LÄN</t>
        </is>
      </c>
      <c r="G432" t="inlineStr">
        <is>
          <t>ALVESTA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50976-2023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45218</v>
      </c>
      <c r="E433" s="1" t="n">
        <v>46290</v>
      </c>
      <c r="F433" t="inlineStr">
        <is>
          <t>KRONOBERGS LÄN</t>
        </is>
      </c>
      <c r="G433" t="inlineStr">
        <is>
          <t>ALVESTA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45359</v>
      </c>
      <c r="E434" s="1" t="n">
        <v>46290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10858-2023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44991</v>
      </c>
      <c r="E435" s="1" t="n">
        <v>46290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51210-2022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46290</v>
      </c>
      <c r="F436" t="inlineStr">
        <is>
          <t>KRONOBERGS LÄN</t>
        </is>
      </c>
      <c r="G436" t="inlineStr">
        <is>
          <t>ALVESTA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44601</v>
      </c>
      <c r="E437" s="1" t="n">
        <v>46290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46290</v>
      </c>
      <c r="F438" t="inlineStr">
        <is>
          <t>KRONOBERGS LÄN</t>
        </is>
      </c>
      <c r="G438" t="inlineStr">
        <is>
          <t>ALVESTA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46129</v>
      </c>
      <c r="E439" s="1" t="n">
        <v>46290</v>
      </c>
      <c r="F439" t="inlineStr">
        <is>
          <t>KRONOBERGS LÄN</t>
        </is>
      </c>
      <c r="G439" t="inlineStr">
        <is>
          <t>ALVESTA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46129</v>
      </c>
      <c r="E440" s="1" t="n">
        <v>46290</v>
      </c>
      <c r="F440" t="inlineStr">
        <is>
          <t>KRONOBERGS LÄN</t>
        </is>
      </c>
      <c r="G440" t="inlineStr">
        <is>
          <t>ALVESTA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45426</v>
      </c>
      <c r="E441" s="1" t="n">
        <v>46290</v>
      </c>
      <c r="F441" t="inlineStr">
        <is>
          <t>KRONOBERGS LÄN</t>
        </is>
      </c>
      <c r="G441" t="inlineStr">
        <is>
          <t>ALVESTA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46290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21987-2023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45068</v>
      </c>
      <c r="E443" s="1" t="n">
        <v>46290</v>
      </c>
      <c r="F443" t="inlineStr">
        <is>
          <t>KRONOBERGS LÄN</t>
        </is>
      </c>
      <c r="G443" t="inlineStr">
        <is>
          <t>ALVESTA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46290</v>
      </c>
      <c r="F444" t="inlineStr">
        <is>
          <t>KRONOBERGS LÄN</t>
        </is>
      </c>
      <c r="G444" t="inlineStr">
        <is>
          <t>ALVESTA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46290</v>
      </c>
      <c r="F445" t="inlineStr">
        <is>
          <t>KRONOBERGS LÄN</t>
        </is>
      </c>
      <c r="G445" t="inlineStr">
        <is>
          <t>ALVESTA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57938-2023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45247</v>
      </c>
      <c r="E446" s="1" t="n">
        <v>46290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45614</v>
      </c>
      <c r="E447" s="1" t="n">
        <v>46290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46290</v>
      </c>
      <c r="F448" t="inlineStr">
        <is>
          <t>KRONOBERGS LÄN</t>
        </is>
      </c>
      <c r="G448" t="inlineStr">
        <is>
          <t>ALVESTA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45680</v>
      </c>
      <c r="E449" s="1" t="n">
        <v>46290</v>
      </c>
      <c r="F449" t="inlineStr">
        <is>
          <t>KRONOBERGS LÄN</t>
        </is>
      </c>
      <c r="G449" t="inlineStr">
        <is>
          <t>ALVESTA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46290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45305</v>
      </c>
      <c r="E451" s="1" t="n">
        <v>46290</v>
      </c>
      <c r="F451" t="inlineStr">
        <is>
          <t>KRONOBERGS LÄN</t>
        </is>
      </c>
      <c r="G451" t="inlineStr">
        <is>
          <t>ALVESTA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46290</v>
      </c>
      <c r="F452" t="inlineStr">
        <is>
          <t>KRONOBERGS LÄN</t>
        </is>
      </c>
      <c r="G452" t="inlineStr">
        <is>
          <t>ALVESTA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53226-2024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45613</v>
      </c>
      <c r="E453" s="1" t="n">
        <v>46290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33113-2023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46290</v>
      </c>
      <c r="F454" t="inlineStr">
        <is>
          <t>KRONOBERGS LÄN</t>
        </is>
      </c>
      <c r="G454" t="inlineStr">
        <is>
          <t>ALVESTA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46290</v>
      </c>
      <c r="F455" t="inlineStr">
        <is>
          <t>KRONOBERGS LÄN</t>
        </is>
      </c>
      <c r="G455" t="inlineStr">
        <is>
          <t>ALVESTA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46204</v>
      </c>
      <c r="E456" s="1" t="n">
        <v>46290</v>
      </c>
      <c r="F456" t="inlineStr">
        <is>
          <t>KRONOBERGS LÄN</t>
        </is>
      </c>
      <c r="G456" t="inlineStr">
        <is>
          <t>ALVESTA</t>
        </is>
      </c>
      <c r="I456" t="n">
        <v>10.4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46290</v>
      </c>
      <c r="F457" t="inlineStr">
        <is>
          <t>KRONOBERGS LÄN</t>
        </is>
      </c>
      <c r="G457" t="inlineStr">
        <is>
          <t>ALVESTA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46290</v>
      </c>
      <c r="F458" t="inlineStr">
        <is>
          <t>KRONOBERGS LÄN</t>
        </is>
      </c>
      <c r="G458" t="inlineStr">
        <is>
          <t>ALVESTA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12260-2023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44998</v>
      </c>
      <c r="E459" s="1" t="n">
        <v>46290</v>
      </c>
      <c r="F459" t="inlineStr">
        <is>
          <t>KRONOBERGS LÄN</t>
        </is>
      </c>
      <c r="G459" t="inlineStr">
        <is>
          <t>ALVESTA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46290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44943</v>
      </c>
      <c r="E461" s="1" t="n">
        <v>46290</v>
      </c>
      <c r="F461" t="inlineStr">
        <is>
          <t>KRONOBERGS LÄN</t>
        </is>
      </c>
      <c r="G461" t="inlineStr">
        <is>
          <t>ALVESTA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9687-2024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45362</v>
      </c>
      <c r="E462" s="1" t="n">
        <v>46290</v>
      </c>
      <c r="F462" t="inlineStr">
        <is>
          <t>KRONOBERGS LÄN</t>
        </is>
      </c>
      <c r="G462" t="inlineStr">
        <is>
          <t>ALVESTA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45644</v>
      </c>
      <c r="E463" s="1" t="n">
        <v>46290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44995</v>
      </c>
      <c r="E464" s="1" t="n">
        <v>46290</v>
      </c>
      <c r="F464" t="inlineStr">
        <is>
          <t>KRONOBERGS LÄN</t>
        </is>
      </c>
      <c r="G464" t="inlineStr">
        <is>
          <t>ALVESTA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46290</v>
      </c>
      <c r="F465" t="inlineStr">
        <is>
          <t>KRONOBERGS LÄN</t>
        </is>
      </c>
      <c r="G465" t="inlineStr">
        <is>
          <t>ALVESTA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44994</v>
      </c>
      <c r="E466" s="1" t="n">
        <v>46290</v>
      </c>
      <c r="F466" t="inlineStr">
        <is>
          <t>KRONOBERGS LÄN</t>
        </is>
      </c>
      <c r="G466" t="inlineStr">
        <is>
          <t>ALVESTA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62147-2023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46290</v>
      </c>
      <c r="F467" t="inlineStr">
        <is>
          <t>KRONOBERGS LÄN</t>
        </is>
      </c>
      <c r="G467" t="inlineStr">
        <is>
          <t>ALVESTA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45076</v>
      </c>
      <c r="E468" s="1" t="n">
        <v>46290</v>
      </c>
      <c r="F468" t="inlineStr">
        <is>
          <t>KRONOBERGS LÄN</t>
        </is>
      </c>
      <c r="G468" t="inlineStr">
        <is>
          <t>ALVESTA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46290</v>
      </c>
      <c r="F469" t="inlineStr">
        <is>
          <t>KRONOBERGS LÄN</t>
        </is>
      </c>
      <c r="G469" t="inlineStr">
        <is>
          <t>ALVESTA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46252</v>
      </c>
      <c r="E470" s="1" t="n">
        <v>46290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45308</v>
      </c>
      <c r="E471" s="1" t="n">
        <v>46290</v>
      </c>
      <c r="F471" t="inlineStr">
        <is>
          <t>KRONOBERGS LÄN</t>
        </is>
      </c>
      <c r="G471" t="inlineStr">
        <is>
          <t>ALVESTA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38890-2023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46290</v>
      </c>
      <c r="F472" t="inlineStr">
        <is>
          <t>KRONOBERGS LÄN</t>
        </is>
      </c>
      <c r="G472" t="inlineStr">
        <is>
          <t>ALVESTA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46290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46212</v>
      </c>
      <c r="E474" s="1" t="n">
        <v>46290</v>
      </c>
      <c r="F474" t="inlineStr">
        <is>
          <t>KRONOBERGS LÄN</t>
        </is>
      </c>
      <c r="G474" t="inlineStr">
        <is>
          <t>ALVESTA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34214-2024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45524</v>
      </c>
      <c r="E475" s="1" t="n">
        <v>46290</v>
      </c>
      <c r="F475" t="inlineStr">
        <is>
          <t>KRONOBERGS LÄN</t>
        </is>
      </c>
      <c r="G475" t="inlineStr">
        <is>
          <t>ALVESTA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44880</v>
      </c>
      <c r="E476" s="1" t="n">
        <v>46290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59492-2022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44907</v>
      </c>
      <c r="E477" s="1" t="n">
        <v>46290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42411-2023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46290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49078-2023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46290</v>
      </c>
      <c r="F479" t="inlineStr">
        <is>
          <t>KRONOBERGS LÄN</t>
        </is>
      </c>
      <c r="G479" t="inlineStr">
        <is>
          <t>ALVESTA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45385</v>
      </c>
      <c r="E480" s="1" t="n">
        <v>46290</v>
      </c>
      <c r="F480" t="inlineStr">
        <is>
          <t>KRONOBERGS LÄN</t>
        </is>
      </c>
      <c r="G480" t="inlineStr">
        <is>
          <t>ALVESTA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45358</v>
      </c>
      <c r="E481" s="1" t="n">
        <v>46290</v>
      </c>
      <c r="F481" t="inlineStr">
        <is>
          <t>KRONOBERGS LÄN</t>
        </is>
      </c>
      <c r="G481" t="inlineStr">
        <is>
          <t>ALVESTA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34968-2026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46259</v>
      </c>
      <c r="E482" s="1" t="n">
        <v>46290</v>
      </c>
      <c r="F482" t="inlineStr">
        <is>
          <t>KRONOBERGS LÄN</t>
        </is>
      </c>
      <c r="G482" t="inlineStr">
        <is>
          <t>ALVESTA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62645-2022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44925</v>
      </c>
      <c r="E483" s="1" t="n">
        <v>46290</v>
      </c>
      <c r="F483" t="inlineStr">
        <is>
          <t>KRONOBERGS LÄN</t>
        </is>
      </c>
      <c r="G483" t="inlineStr">
        <is>
          <t>ALVESTA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45302</v>
      </c>
      <c r="E484" s="1" t="n">
        <v>46290</v>
      </c>
      <c r="F484" t="inlineStr">
        <is>
          <t>KRONOBERGS LÄN</t>
        </is>
      </c>
      <c r="G484" t="inlineStr">
        <is>
          <t>ALVESTA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46290</v>
      </c>
      <c r="F485" t="inlineStr">
        <is>
          <t>KRONOBERGS LÄN</t>
        </is>
      </c>
      <c r="G485" t="inlineStr">
        <is>
          <t>ALVESTA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45032</v>
      </c>
      <c r="E486" s="1" t="n">
        <v>46290</v>
      </c>
      <c r="F486" t="inlineStr">
        <is>
          <t>KRONOBERGS LÄN</t>
        </is>
      </c>
      <c r="G486" t="inlineStr">
        <is>
          <t>ALVESTA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46290</v>
      </c>
      <c r="F487" t="inlineStr">
        <is>
          <t>KRONOBERGS LÄN</t>
        </is>
      </c>
      <c r="G487" t="inlineStr">
        <is>
          <t>ALVESTA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45128</v>
      </c>
      <c r="E488" s="1" t="n">
        <v>46290</v>
      </c>
      <c r="F488" t="inlineStr">
        <is>
          <t>KRONOBERGS LÄN</t>
        </is>
      </c>
      <c r="G488" t="inlineStr">
        <is>
          <t>ALVESTA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46290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44747</v>
      </c>
      <c r="E490" s="1" t="n">
        <v>46290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46290</v>
      </c>
      <c r="F491" t="inlineStr">
        <is>
          <t>KRONOBERGS LÄN</t>
        </is>
      </c>
      <c r="G491" t="inlineStr">
        <is>
          <t>ALVESTA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46290</v>
      </c>
      <c r="F492" t="inlineStr">
        <is>
          <t>KRONOBERGS LÄN</t>
        </is>
      </c>
      <c r="G492" t="inlineStr">
        <is>
          <t>ALVESTA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46290</v>
      </c>
      <c r="F493" t="inlineStr">
        <is>
          <t>KRONOBERGS LÄN</t>
        </is>
      </c>
      <c r="G493" t="inlineStr">
        <is>
          <t>ALVESTA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45329</v>
      </c>
      <c r="E494" s="1" t="n">
        <v>46290</v>
      </c>
      <c r="F494" t="inlineStr">
        <is>
          <t>KRONOBERGS LÄN</t>
        </is>
      </c>
      <c r="G494" t="inlineStr">
        <is>
          <t>ALVESTA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45136</v>
      </c>
      <c r="E495" s="1" t="n">
        <v>46290</v>
      </c>
      <c r="F495" t="inlineStr">
        <is>
          <t>KRONOBERGS LÄN</t>
        </is>
      </c>
      <c r="G495" t="inlineStr">
        <is>
          <t>ALVESTA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45436</v>
      </c>
      <c r="E496" s="1" t="n">
        <v>46290</v>
      </c>
      <c r="F496" t="inlineStr">
        <is>
          <t>KRONOBERGS LÄN</t>
        </is>
      </c>
      <c r="G496" t="inlineStr">
        <is>
          <t>ALVESTA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36565-2026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46269</v>
      </c>
      <c r="E497" s="1" t="n">
        <v>46290</v>
      </c>
      <c r="F497" t="inlineStr">
        <is>
          <t>KRONOBERGS LÄN</t>
        </is>
      </c>
      <c r="G497" t="inlineStr">
        <is>
          <t>ALVESTA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45555</v>
      </c>
      <c r="E498" s="1" t="n">
        <v>46290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42467-2024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45565</v>
      </c>
      <c r="E499" s="1" t="n">
        <v>46290</v>
      </c>
      <c r="F499" t="inlineStr">
        <is>
          <t>KRONOBERGS LÄN</t>
        </is>
      </c>
      <c r="G499" t="inlineStr">
        <is>
          <t>ALVESTA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45595</v>
      </c>
      <c r="E500" s="1" t="n">
        <v>46290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46290</v>
      </c>
      <c r="F501" t="inlineStr">
        <is>
          <t>KRONOBERGS LÄN</t>
        </is>
      </c>
      <c r="G501" t="inlineStr">
        <is>
          <t>ALVESTA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36946-2026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46273</v>
      </c>
      <c r="E502" s="1" t="n">
        <v>46290</v>
      </c>
      <c r="F502" t="inlineStr">
        <is>
          <t>KRONOBERGS LÄN</t>
        </is>
      </c>
      <c r="G502" t="inlineStr">
        <is>
          <t>ALVESTA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36640-2026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46290</v>
      </c>
      <c r="F503" t="inlineStr">
        <is>
          <t>KRONOBERGS LÄN</t>
        </is>
      </c>
      <c r="G503" t="inlineStr">
        <is>
          <t>ALVESTA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45146</v>
      </c>
      <c r="E504" s="1" t="n">
        <v>46290</v>
      </c>
      <c r="F504" t="inlineStr">
        <is>
          <t>KRONOBERGS LÄN</t>
        </is>
      </c>
      <c r="G504" t="inlineStr">
        <is>
          <t>ALVESTA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45330</v>
      </c>
      <c r="E505" s="1" t="n">
        <v>46290</v>
      </c>
      <c r="F505" t="inlineStr">
        <is>
          <t>KRONOBERGS LÄN</t>
        </is>
      </c>
      <c r="G505" t="inlineStr">
        <is>
          <t>ALVESTA</t>
        </is>
      </c>
      <c r="H505" t="inlineStr">
        <is>
          <t>Övriga Aktiebolag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46290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26225-2022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46290</v>
      </c>
      <c r="F507" t="inlineStr">
        <is>
          <t>KRONOBERGS LÄN</t>
        </is>
      </c>
      <c r="G507" t="inlineStr">
        <is>
          <t>ALVESTA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46290</v>
      </c>
      <c r="F508" t="inlineStr">
        <is>
          <t>KRONOBERGS LÄN</t>
        </is>
      </c>
      <c r="G508" t="inlineStr">
        <is>
          <t>ALVESTA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45608</v>
      </c>
      <c r="E509" s="1" t="n">
        <v>46290</v>
      </c>
      <c r="F509" t="inlineStr">
        <is>
          <t>KRONOBERGS LÄN</t>
        </is>
      </c>
      <c r="G509" t="inlineStr">
        <is>
          <t>ALVESTA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46290</v>
      </c>
      <c r="F510" t="inlineStr">
        <is>
          <t>KRONOBERGS LÄN</t>
        </is>
      </c>
      <c r="G510" t="inlineStr">
        <is>
          <t>ALVESTA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46273</v>
      </c>
      <c r="E511" s="1" t="n">
        <v>46290</v>
      </c>
      <c r="F511" t="inlineStr">
        <is>
          <t>KRONOBERGS LÄN</t>
        </is>
      </c>
      <c r="G511" t="inlineStr">
        <is>
          <t>ALVESTA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44895</v>
      </c>
      <c r="E512" s="1" t="n">
        <v>46290</v>
      </c>
      <c r="F512" t="inlineStr">
        <is>
          <t>KRONOBERGS LÄN</t>
        </is>
      </c>
      <c r="G512" t="inlineStr">
        <is>
          <t>ALVESTA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45519</v>
      </c>
      <c r="E513" s="1" t="n">
        <v>46290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37095-2026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46274</v>
      </c>
      <c r="E514" s="1" t="n">
        <v>46290</v>
      </c>
      <c r="F514" t="inlineStr">
        <is>
          <t>KRONOBERGS LÄN</t>
        </is>
      </c>
      <c r="G514" t="inlineStr">
        <is>
          <t>ALVESTA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46290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45336</v>
      </c>
      <c r="E516" s="1" t="n">
        <v>46290</v>
      </c>
      <c r="F516" t="inlineStr">
        <is>
          <t>KRONOBERGS LÄN</t>
        </is>
      </c>
      <c r="G516" t="inlineStr">
        <is>
          <t>ALVESTA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46274</v>
      </c>
      <c r="E517" s="1" t="n">
        <v>46290</v>
      </c>
      <c r="F517" t="inlineStr">
        <is>
          <t>KRONOBERGS LÄN</t>
        </is>
      </c>
      <c r="G517" t="inlineStr">
        <is>
          <t>ALVESTA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72318-2021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44545</v>
      </c>
      <c r="E518" s="1" t="n">
        <v>46290</v>
      </c>
      <c r="F518" t="inlineStr">
        <is>
          <t>KRONOBERGS LÄN</t>
        </is>
      </c>
      <c r="G518" t="inlineStr">
        <is>
          <t>ALVESTA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46279</v>
      </c>
      <c r="E519" s="1" t="n">
        <v>46290</v>
      </c>
      <c r="F519" t="inlineStr">
        <is>
          <t>KRONOBERGS LÄN</t>
        </is>
      </c>
      <c r="G519" t="inlineStr">
        <is>
          <t>ALVESTA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45153</v>
      </c>
      <c r="E520" s="1" t="n">
        <v>46290</v>
      </c>
      <c r="F520" t="inlineStr">
        <is>
          <t>KRONOBERGS LÄN</t>
        </is>
      </c>
      <c r="G520" t="inlineStr">
        <is>
          <t>ALVESTA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45153</v>
      </c>
      <c r="E521" s="1" t="n">
        <v>46290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42397-2023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45180</v>
      </c>
      <c r="E522" s="1" t="n">
        <v>46290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44812</v>
      </c>
      <c r="E523" s="1" t="n">
        <v>46290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45398</v>
      </c>
      <c r="E524" s="1" t="n">
        <v>46290</v>
      </c>
      <c r="F524" t="inlineStr">
        <is>
          <t>KRONOBERGS LÄN</t>
        </is>
      </c>
      <c r="G524" t="inlineStr">
        <is>
          <t>ALVESTA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46281</v>
      </c>
      <c r="E525" s="1" t="n">
        <v>46290</v>
      </c>
      <c r="F525" t="inlineStr">
        <is>
          <t>KRONOBERGS LÄN</t>
        </is>
      </c>
      <c r="G525" t="inlineStr">
        <is>
          <t>ALVESTA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46281</v>
      </c>
      <c r="E526" s="1" t="n">
        <v>46290</v>
      </c>
      <c r="F526" t="inlineStr">
        <is>
          <t>KRONOBERGS LÄN</t>
        </is>
      </c>
      <c r="G526" t="inlineStr">
        <is>
          <t>ALVESTA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46290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27247-2024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45471</v>
      </c>
      <c r="E528" s="1" t="n">
        <v>46290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45471</v>
      </c>
      <c r="E529" s="1" t="n">
        <v>46290</v>
      </c>
      <c r="F529" t="inlineStr">
        <is>
          <t>KRONOBERGS LÄN</t>
        </is>
      </c>
      <c r="G529" t="inlineStr">
        <is>
          <t>ALVESTA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61902-2024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45653</v>
      </c>
      <c r="E530" s="1" t="n">
        <v>46290</v>
      </c>
      <c r="F530" t="inlineStr">
        <is>
          <t>KRONOBERGS LÄN</t>
        </is>
      </c>
      <c r="G530" t="inlineStr">
        <is>
          <t>ALVESTA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46238</v>
      </c>
      <c r="E531" s="1" t="n">
        <v>46290</v>
      </c>
      <c r="F531" t="inlineStr">
        <is>
          <t>KRONOBERGS LÄN</t>
        </is>
      </c>
      <c r="G531" t="inlineStr">
        <is>
          <t>ALVESTA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22563-2024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45447</v>
      </c>
      <c r="E532" s="1" t="n">
        <v>46290</v>
      </c>
      <c r="F532" t="inlineStr">
        <is>
          <t>KRONOBERGS LÄN</t>
        </is>
      </c>
      <c r="G532" t="inlineStr">
        <is>
          <t>ALVESTA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46290</v>
      </c>
      <c r="F533" t="inlineStr">
        <is>
          <t>KRONOBERGS LÄN</t>
        </is>
      </c>
      <c r="G533" t="inlineStr">
        <is>
          <t>ALVESTA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37278-2024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45540</v>
      </c>
      <c r="E534" s="1" t="n">
        <v>46290</v>
      </c>
      <c r="F534" t="inlineStr">
        <is>
          <t>KRONOBERGS LÄN</t>
        </is>
      </c>
      <c r="G534" t="inlineStr">
        <is>
          <t>ALVESTA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65094-2023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45288</v>
      </c>
      <c r="E535" s="1" t="n">
        <v>46290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12299-2023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44998</v>
      </c>
      <c r="E536" s="1" t="n">
        <v>46290</v>
      </c>
      <c r="F536" t="inlineStr">
        <is>
          <t>KRONOBERGS LÄN</t>
        </is>
      </c>
      <c r="G536" t="inlineStr">
        <is>
          <t>ALVESTA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45712</v>
      </c>
      <c r="E537" s="1" t="n">
        <v>46290</v>
      </c>
      <c r="F537" t="inlineStr">
        <is>
          <t>KRONOBERGS LÄN</t>
        </is>
      </c>
      <c r="G537" t="inlineStr">
        <is>
          <t>ALVESTA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45551</v>
      </c>
      <c r="E538" s="1" t="n">
        <v>46290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45385</v>
      </c>
      <c r="E539" s="1" t="n">
        <v>46290</v>
      </c>
      <c r="F539" t="inlineStr">
        <is>
          <t>KRONOBERGS LÄN</t>
        </is>
      </c>
      <c r="G539" t="inlineStr">
        <is>
          <t>ALVESTA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46290</v>
      </c>
      <c r="F540" t="inlineStr">
        <is>
          <t>KRONOBERGS LÄN</t>
        </is>
      </c>
      <c r="G540" t="inlineStr">
        <is>
          <t>ALVESTA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45700</v>
      </c>
      <c r="E541" s="1" t="n">
        <v>46290</v>
      </c>
      <c r="F541" t="inlineStr">
        <is>
          <t>KRONOBERGS LÄN</t>
        </is>
      </c>
      <c r="G541" t="inlineStr">
        <is>
          <t>ALVESTA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54116-2024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46290</v>
      </c>
      <c r="F542" t="inlineStr">
        <is>
          <t>KRONOBERGS LÄN</t>
        </is>
      </c>
      <c r="G542" t="inlineStr">
        <is>
          <t>ALVESTA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46290</v>
      </c>
      <c r="F543" t="inlineStr">
        <is>
          <t>KRONOBERGS LÄN</t>
        </is>
      </c>
      <c r="G543" t="inlineStr">
        <is>
          <t>ALVESTA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46290</v>
      </c>
      <c r="F544" t="inlineStr">
        <is>
          <t>KRONOBERGS LÄN</t>
        </is>
      </c>
      <c r="G544" t="inlineStr">
        <is>
          <t>ALVESTA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46286</v>
      </c>
      <c r="E545" s="1" t="n">
        <v>46290</v>
      </c>
      <c r="F545" t="inlineStr">
        <is>
          <t>KRONOBERGS LÄN</t>
        </is>
      </c>
      <c r="G545" t="inlineStr">
        <is>
          <t>ALVESTA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38919-2026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46286</v>
      </c>
      <c r="E546" s="1" t="n">
        <v>46290</v>
      </c>
      <c r="F546" t="inlineStr">
        <is>
          <t>KRONOBERGS LÄN</t>
        </is>
      </c>
      <c r="G546" t="inlineStr">
        <is>
          <t>ALVESTA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38921-2026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46286</v>
      </c>
      <c r="E547" s="1" t="n">
        <v>46290</v>
      </c>
      <c r="F547" t="inlineStr">
        <is>
          <t>KRONOBERGS LÄN</t>
        </is>
      </c>
      <c r="G547" t="inlineStr">
        <is>
          <t>ALVESTA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45407</v>
      </c>
      <c r="E548" s="1" t="n">
        <v>46290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45418</v>
      </c>
      <c r="E549" s="1" t="n">
        <v>46290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46286</v>
      </c>
      <c r="E550" s="1" t="n">
        <v>46290</v>
      </c>
      <c r="F550" t="inlineStr">
        <is>
          <t>KRONOBERGS LÄN</t>
        </is>
      </c>
      <c r="G550" t="inlineStr">
        <is>
          <t>ALVESTA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46290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46241</v>
      </c>
      <c r="E552" s="1" t="n">
        <v>46290</v>
      </c>
      <c r="F552" t="inlineStr">
        <is>
          <t>KRONOBERGS LÄN</t>
        </is>
      </c>
      <c r="G552" t="inlineStr">
        <is>
          <t>ALVESTA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46241</v>
      </c>
      <c r="E553" s="1" t="n">
        <v>46290</v>
      </c>
      <c r="F553" t="inlineStr">
        <is>
          <t>KRONOBERGS LÄN</t>
        </is>
      </c>
      <c r="G553" t="inlineStr">
        <is>
          <t>ALVESTA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32794-2026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46241</v>
      </c>
      <c r="E554" s="1" t="n">
        <v>46290</v>
      </c>
      <c r="F554" t="inlineStr">
        <is>
          <t>KRONOBERGS LÄN</t>
        </is>
      </c>
      <c r="G554" t="inlineStr">
        <is>
          <t>ALVESTA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32798-2026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46241</v>
      </c>
      <c r="E555" s="1" t="n">
        <v>46290</v>
      </c>
      <c r="F555" t="inlineStr">
        <is>
          <t>KRONOBERGS LÄN</t>
        </is>
      </c>
      <c r="G555" t="inlineStr">
        <is>
          <t>ALVESTA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45440</v>
      </c>
      <c r="E556" s="1" t="n">
        <v>46290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39033-2026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46287</v>
      </c>
      <c r="E557" s="1" t="n">
        <v>46290</v>
      </c>
      <c r="F557" t="inlineStr">
        <is>
          <t>KRONOBERGS LÄN</t>
        </is>
      </c>
      <c r="G557" t="inlineStr">
        <is>
          <t>ALVESTA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46241</v>
      </c>
      <c r="E558" s="1" t="n">
        <v>46290</v>
      </c>
      <c r="F558" t="inlineStr">
        <is>
          <t>KRONOBERGS LÄN</t>
        </is>
      </c>
      <c r="G558" t="inlineStr">
        <is>
          <t>ALVESTA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46241</v>
      </c>
      <c r="E559" s="1" t="n">
        <v>46290</v>
      </c>
      <c r="F559" t="inlineStr">
        <is>
          <t>KRONOBERGS LÄN</t>
        </is>
      </c>
      <c r="G559" t="inlineStr">
        <is>
          <t>ALVESTA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46290</v>
      </c>
      <c r="F560" t="inlineStr">
        <is>
          <t>KRONOBERGS LÄN</t>
        </is>
      </c>
      <c r="G560" t="inlineStr">
        <is>
          <t>ALVESTA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24090-2024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45456</v>
      </c>
      <c r="E561" s="1" t="n">
        <v>46290</v>
      </c>
      <c r="F561" t="inlineStr">
        <is>
          <t>KRONOBERGS LÄN</t>
        </is>
      </c>
      <c r="G561" t="inlineStr">
        <is>
          <t>ALVESTA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46290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46290</v>
      </c>
      <c r="F563" t="inlineStr">
        <is>
          <t>KRONOBERGS LÄN</t>
        </is>
      </c>
      <c r="G563" t="inlineStr">
        <is>
          <t>ALVESTA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46290</v>
      </c>
      <c r="F564" t="inlineStr">
        <is>
          <t>KRONOBERGS LÄN</t>
        </is>
      </c>
      <c r="G564" t="inlineStr">
        <is>
          <t>ALVESTA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46288</v>
      </c>
      <c r="E565" s="1" t="n">
        <v>46290</v>
      </c>
      <c r="F565" t="inlineStr">
        <is>
          <t>KRONOBERGS LÄN</t>
        </is>
      </c>
      <c r="G565" t="inlineStr">
        <is>
          <t>ALVESTA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46290</v>
      </c>
      <c r="F566" t="inlineStr">
        <is>
          <t>KRONOBERGS LÄN</t>
        </is>
      </c>
      <c r="G566" t="inlineStr">
        <is>
          <t>ALVESTA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15063-2023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45015</v>
      </c>
      <c r="E567" s="1" t="n">
        <v>46290</v>
      </c>
      <c r="F567" t="inlineStr">
        <is>
          <t>KRONOBERGS LÄN</t>
        </is>
      </c>
      <c r="G567" t="inlineStr">
        <is>
          <t>ALVESTA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46290</v>
      </c>
      <c r="F568" t="inlineStr">
        <is>
          <t>KRONOBERGS LÄN</t>
        </is>
      </c>
      <c r="G568" t="inlineStr">
        <is>
          <t>ALVESTA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39407-2026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46288</v>
      </c>
      <c r="E569" s="1" t="n">
        <v>46290</v>
      </c>
      <c r="F569" t="inlineStr">
        <is>
          <t>KRONOBERGS LÄN</t>
        </is>
      </c>
      <c r="G569" t="inlineStr">
        <is>
          <t>ALVESTA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13896-2024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45391</v>
      </c>
      <c r="E570" s="1" t="n">
        <v>46290</v>
      </c>
      <c r="F570" t="inlineStr">
        <is>
          <t>KRONOBERGS LÄN</t>
        </is>
      </c>
      <c r="G570" t="inlineStr">
        <is>
          <t>ALVESTA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45418</v>
      </c>
      <c r="E571" s="1" t="n">
        <v>46290</v>
      </c>
      <c r="F571" t="inlineStr">
        <is>
          <t>KRONOBERGS LÄN</t>
        </is>
      </c>
      <c r="G571" t="inlineStr">
        <is>
          <t>ALVESTA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33222-2024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45518</v>
      </c>
      <c r="E572" s="1" t="n">
        <v>46290</v>
      </c>
      <c r="F572" t="inlineStr">
        <is>
          <t>KRONOBERGS LÄN</t>
        </is>
      </c>
      <c r="G572" t="inlineStr">
        <is>
          <t>ALVESTA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25220-2025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45798</v>
      </c>
      <c r="E573" s="1" t="n">
        <v>46290</v>
      </c>
      <c r="F573" t="inlineStr">
        <is>
          <t>KRONOBERGS LÄN</t>
        </is>
      </c>
      <c r="G573" t="inlineStr">
        <is>
          <t>ALVESTA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6489-2022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44601</v>
      </c>
      <c r="E574" s="1" t="n">
        <v>46290</v>
      </c>
      <c r="F574" t="inlineStr">
        <is>
          <t>KRONOBERGS LÄN</t>
        </is>
      </c>
      <c r="G574" t="inlineStr">
        <is>
          <t>ALVESTA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45362</v>
      </c>
      <c r="E575" s="1" t="n">
        <v>46290</v>
      </c>
      <c r="F575" t="inlineStr">
        <is>
          <t>KRONOBERGS LÄN</t>
        </is>
      </c>
      <c r="G575" t="inlineStr">
        <is>
          <t>ALVESTA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25393-2025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46290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21438-2025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45782</v>
      </c>
      <c r="E577" s="1" t="n">
        <v>46290</v>
      </c>
      <c r="F577" t="inlineStr">
        <is>
          <t>KRONOBERGS LÄN</t>
        </is>
      </c>
      <c r="G577" t="inlineStr">
        <is>
          <t>ALVESTA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46290</v>
      </c>
      <c r="F578" t="inlineStr">
        <is>
          <t>KRONOBERGS LÄN</t>
        </is>
      </c>
      <c r="G578" t="inlineStr">
        <is>
          <t>ALVESTA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44957</v>
      </c>
      <c r="E579" s="1" t="n">
        <v>46290</v>
      </c>
      <c r="F579" t="inlineStr">
        <is>
          <t>KRONOBERGS LÄN</t>
        </is>
      </c>
      <c r="G579" t="inlineStr">
        <is>
          <t>ALVESTA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38765-2022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44816</v>
      </c>
      <c r="E580" s="1" t="n">
        <v>46290</v>
      </c>
      <c r="F580" t="inlineStr">
        <is>
          <t>KRONOBERGS LÄN</t>
        </is>
      </c>
      <c r="G580" t="inlineStr">
        <is>
          <t>ALVESTA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59052-2021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44490</v>
      </c>
      <c r="E581" s="1" t="n">
        <v>46290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26965-2025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46290</v>
      </c>
      <c r="F582" t="inlineStr">
        <is>
          <t>KRONOBERGS LÄN</t>
        </is>
      </c>
      <c r="G582" t="inlineStr">
        <is>
          <t>ALVESTA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46290</v>
      </c>
      <c r="F583" t="inlineStr">
        <is>
          <t>KRONOBERGS LÄN</t>
        </is>
      </c>
      <c r="G583" t="inlineStr">
        <is>
          <t>ALVESTA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45811</v>
      </c>
      <c r="E584" s="1" t="n">
        <v>46290</v>
      </c>
      <c r="F584" t="inlineStr">
        <is>
          <t>KRONOBERGS LÄN</t>
        </is>
      </c>
      <c r="G584" t="inlineStr">
        <is>
          <t>ALVESTA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26977-2025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46290</v>
      </c>
      <c r="F585" t="inlineStr">
        <is>
          <t>KRONOBERGS LÄN</t>
        </is>
      </c>
      <c r="G585" t="inlineStr">
        <is>
          <t>ALVESTA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12834-2024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45384</v>
      </c>
      <c r="E586" s="1" t="n">
        <v>46290</v>
      </c>
      <c r="F586" t="inlineStr">
        <is>
          <t>KRONOBERGS LÄN</t>
        </is>
      </c>
      <c r="G586" t="inlineStr">
        <is>
          <t>ALVESTA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45824</v>
      </c>
      <c r="E587" s="1" t="n">
        <v>46290</v>
      </c>
      <c r="F587" t="inlineStr">
        <is>
          <t>KRONOBERGS LÄN</t>
        </is>
      </c>
      <c r="G587" t="inlineStr">
        <is>
          <t>ALVESTA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29163-2025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46290</v>
      </c>
      <c r="F588" t="inlineStr">
        <is>
          <t>KRONOBERGS LÄN</t>
        </is>
      </c>
      <c r="G588" t="inlineStr">
        <is>
          <t>ALVESTA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46290</v>
      </c>
      <c r="F589" t="inlineStr">
        <is>
          <t>KRONOBERGS LÄN</t>
        </is>
      </c>
      <c r="G589" t="inlineStr">
        <is>
          <t>ALVESTA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46290</v>
      </c>
      <c r="F590" t="inlineStr">
        <is>
          <t>KRONOBERGS LÄN</t>
        </is>
      </c>
      <c r="G590" t="inlineStr">
        <is>
          <t>ALVESTA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45831</v>
      </c>
      <c r="E591" s="1" t="n">
        <v>46290</v>
      </c>
      <c r="F591" t="inlineStr">
        <is>
          <t>KRONOBERGS LÄN</t>
        </is>
      </c>
      <c r="G591" t="inlineStr">
        <is>
          <t>ALVESTA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19286-2025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45769</v>
      </c>
      <c r="E592" s="1" t="n">
        <v>46290</v>
      </c>
      <c r="F592" t="inlineStr">
        <is>
          <t>KRONOBERGS LÄN</t>
        </is>
      </c>
      <c r="G592" t="inlineStr">
        <is>
          <t>ALVESTA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46290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31754-2025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46290</v>
      </c>
      <c r="F594" t="inlineStr">
        <is>
          <t>KRONOBERGS LÄN</t>
        </is>
      </c>
      <c r="G594" t="inlineStr">
        <is>
          <t>ALVESTA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31790-2025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45834</v>
      </c>
      <c r="E595" s="1" t="n">
        <v>46290</v>
      </c>
      <c r="F595" t="inlineStr">
        <is>
          <t>KRONOBERGS LÄN</t>
        </is>
      </c>
      <c r="G595" t="inlineStr">
        <is>
          <t>ALVESTA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46290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46290</v>
      </c>
      <c r="F597" t="inlineStr">
        <is>
          <t>KRONOBERGS LÄN</t>
        </is>
      </c>
      <c r="G597" t="inlineStr">
        <is>
          <t>ALVESTA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46290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45847</v>
      </c>
      <c r="E599" s="1" t="n">
        <v>46290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45852</v>
      </c>
      <c r="E600" s="1" t="n">
        <v>46290</v>
      </c>
      <c r="F600" t="inlineStr">
        <is>
          <t>KRONOBERGS LÄN</t>
        </is>
      </c>
      <c r="G600" t="inlineStr">
        <is>
          <t>ALVESTA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46290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46290</v>
      </c>
      <c r="F602" t="inlineStr">
        <is>
          <t>KRONOBERGS LÄN</t>
        </is>
      </c>
      <c r="G602" t="inlineStr">
        <is>
          <t>ALVESTA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48692-2024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46290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60202-2021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44495</v>
      </c>
      <c r="E604" s="1" t="n">
        <v>46290</v>
      </c>
      <c r="F604" t="inlineStr">
        <is>
          <t>KRONOBERGS LÄN</t>
        </is>
      </c>
      <c r="G604" t="inlineStr">
        <is>
          <t>ALVESTA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3838-2022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44743</v>
      </c>
      <c r="E605" s="1" t="n">
        <v>46290</v>
      </c>
      <c r="F605" t="inlineStr">
        <is>
          <t>KRONOBERGS LÄN</t>
        </is>
      </c>
      <c r="G605" t="inlineStr">
        <is>
          <t>ALVESTA</t>
        </is>
      </c>
      <c r="I605" t="n">
        <v>15.8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572-2024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45350</v>
      </c>
      <c r="E606" s="1" t="n">
        <v>46290</v>
      </c>
      <c r="F606" t="inlineStr">
        <is>
          <t>KRONOBERGS LÄN</t>
        </is>
      </c>
      <c r="G606" t="inlineStr">
        <is>
          <t>ALVESTA</t>
        </is>
      </c>
      <c r="I606" t="n">
        <v>32.7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6869-2022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44903</v>
      </c>
      <c r="E607" s="1" t="n">
        <v>46290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46290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46290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46290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46290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46290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46290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46290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46290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46290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1569-2022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44643</v>
      </c>
      <c r="E617" s="1" t="n">
        <v>46290</v>
      </c>
      <c r="F617" t="inlineStr">
        <is>
          <t>KRONOBERGS LÄN</t>
        </is>
      </c>
      <c r="G617" t="inlineStr">
        <is>
          <t>ALVESTA</t>
        </is>
      </c>
      <c r="I617" t="n">
        <v>21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46290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46290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46290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46290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46290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46290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46290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46290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46290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46290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46290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46290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46290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46290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46290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46290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46290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2026-09-25T02:08:10Z</dcterms:created>
  <dcterms:modified xmlns:dcterms="http://purl.org/dc/terms/" xmlns:xsi="http://www.w3.org/2001/XMLSchema-instance" xsi:type="dcterms:W3CDTF">2026-09-25T02:08:11Z</dcterms:modified>
</cp:coreProperties>
</file>