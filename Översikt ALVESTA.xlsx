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46291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46291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46291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46291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46291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46291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46291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46291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46291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46291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46291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46291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46291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46291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46291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46291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46291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46291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46291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64797-2021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46291</v>
      </c>
      <c r="F31" t="inlineStr">
        <is>
          <t>KRONOBERGS LÄN</t>
        </is>
      </c>
      <c r="G31" t="inlineStr">
        <is>
          <t>ALVESTA</t>
        </is>
      </c>
      <c r="I31" t="n">
        <v>4.2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Röd glada
Trana</t>
        </is>
      </c>
      <c r="W31">
        <f>HYPERLINK("https://klasma.github.io/Logging_0764/artfynd/A 64797-2021 artfynd.xlsx", "A 64797-2021")</f>
        <v/>
      </c>
      <c r="X31">
        <f>HYPERLINK("https://klasma.github.io/Logging_0764/kartor/A 64797-2021 karta.png", "A 64797-2021")</f>
        <v/>
      </c>
      <c r="Y31">
        <f>HYPERLINK("https://klasma.github.io/Logging_0764/kartor_geotiff/A 64797-2021 georefererad karta.tif", "A 64797-2021")</f>
        <v/>
      </c>
      <c r="AA31">
        <f>HYPERLINK("https://klasma.github.io/Logging_0764/klagomål/A 64797-2021 FSC-klagomål.docx", "A 64797-2021")</f>
        <v/>
      </c>
      <c r="AB31">
        <f>HYPERLINK("https://klasma.github.io/Logging_0764/klagomålsmail/A 64797-2021 FSC-klagomål mail.docx", "A 64797-2021")</f>
        <v/>
      </c>
      <c r="AC31">
        <f>HYPERLINK("https://klasma.github.io/Logging_0764/tillsyn/A 64797-2021 tillsynsbegäran.docx", "A 64797-2021")</f>
        <v/>
      </c>
      <c r="AD31">
        <f>HYPERLINK("https://klasma.github.io/Logging_0764/tillsynsmail/A 64797-2021 tillsynsbegäran mail.docx", "A 64797-2021")</f>
        <v/>
      </c>
      <c r="AE31">
        <f>HYPERLINK("https://klasma.github.io/Logging_0764/fåglar/A 64797-2021 prioriterade fågelarter.docx", "A 64797-2021")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46291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46291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46291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46291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46291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44406-2024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45573</v>
      </c>
      <c r="E37" s="1" t="n">
        <v>46291</v>
      </c>
      <c r="F37" t="inlineStr">
        <is>
          <t>KRONOBERGS LÄN</t>
        </is>
      </c>
      <c r="G37" t="inlineStr">
        <is>
          <t>ALVESTA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44406-2024 artfynd.xlsx", "A 44406-2024")</f>
        <v/>
      </c>
      <c r="X37">
        <f>HYPERLINK("https://klasma.github.io/Logging_0764/kartor/A 44406-2024 karta.png", "A 44406-2024")</f>
        <v/>
      </c>
      <c r="Y37">
        <f>HYPERLINK("https://klasma.github.io/Logging_0764/kartor_geotiff/A 44406-2024 georefererad karta.tif", "A 44406-2024")</f>
        <v/>
      </c>
      <c r="AA37">
        <f>HYPERLINK("https://klasma.github.io/Logging_0764/klagomål/A 44406-2024 FSC-klagomål.docx", "A 44406-2024")</f>
        <v/>
      </c>
      <c r="AB37">
        <f>HYPERLINK("https://klasma.github.io/Logging_0764/klagomålsmail/A 44406-2024 FSC-klagomål mail.docx", "A 44406-2024")</f>
        <v/>
      </c>
      <c r="AC37">
        <f>HYPERLINK("https://klasma.github.io/Logging_0764/tillsyn/A 44406-2024 tillsynsbegäran.docx", "A 44406-2024")</f>
        <v/>
      </c>
      <c r="AD37">
        <f>HYPERLINK("https://klasma.github.io/Logging_0764/tillsynsmail/A 44406-2024 tillsynsbegäran mail.docx", "A 44406-2024")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46291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46291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46291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55368-2025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46291</v>
      </c>
      <c r="F41" t="inlineStr">
        <is>
          <t>KRONOBERGS LÄN</t>
        </is>
      </c>
      <c r="G41" t="inlineStr">
        <is>
          <t>ALVESTA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HYPERLINK("https://klasma.github.io/Logging_0764/artfynd/A 55368-2025 artfynd.xlsx", "A 55368-2025")</f>
        <v/>
      </c>
      <c r="X41">
        <f>HYPERLINK("https://klasma.github.io/Logging_0764/kartor/A 55368-2025 karta.png", "A 55368-2025")</f>
        <v/>
      </c>
      <c r="Y41">
        <f>HYPERLINK("https://klasma.github.io/Logging_0764/kartor_geotiff/A 55368-2025 georefererad karta.tif", "A 55368-2025")</f>
        <v/>
      </c>
      <c r="AA41">
        <f>HYPERLINK("https://klasma.github.io/Logging_0764/klagomål/A 55368-2025 FSC-klagomål.docx", "A 55368-2025")</f>
        <v/>
      </c>
      <c r="AB41">
        <f>HYPERLINK("https://klasma.github.io/Logging_0764/klagomålsmail/A 55368-2025 FSC-klagomål mail.docx", "A 55368-2025")</f>
        <v/>
      </c>
      <c r="AC41">
        <f>HYPERLINK("https://klasma.github.io/Logging_0764/tillsyn/A 55368-2025 tillsynsbegäran.docx", "A 55368-2025")</f>
        <v/>
      </c>
      <c r="AD41">
        <f>HYPERLINK("https://klasma.github.io/Logging_0764/tillsynsmail/A 55368-2025 tillsynsbegäran mail.docx", "A 55368-2025")</f>
        <v/>
      </c>
    </row>
    <row r="42" ht="15" customHeight="1">
      <c r="A42" t="inlineStr">
        <is>
          <t>A 43766-2023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46291</v>
      </c>
      <c r="F42" t="inlineStr">
        <is>
          <t>KRONOBERGS LÄN</t>
        </is>
      </c>
      <c r="G42" t="inlineStr">
        <is>
          <t>ALVESTA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HYPERLINK("https://klasma.github.io/Logging_0764/artfynd/A 43766-2023 artfynd.xlsx", "A 43766-2023")</f>
        <v/>
      </c>
      <c r="X42">
        <f>HYPERLINK("https://klasma.github.io/Logging_0764/kartor/A 43766-2023 karta.png", "A 43766-2023")</f>
        <v/>
      </c>
      <c r="Y42">
        <f>HYPERLINK("https://klasma.github.io/Logging_0764/kartor_geotiff/A 43766-2023 georefererad karta.tif", "A 43766-2023")</f>
        <v/>
      </c>
      <c r="AA42">
        <f>HYPERLINK("https://klasma.github.io/Logging_0764/klagomål/A 43766-2023 FSC-klagomål.docx", "A 43766-2023")</f>
        <v/>
      </c>
      <c r="AB42">
        <f>HYPERLINK("https://klasma.github.io/Logging_0764/klagomålsmail/A 43766-2023 FSC-klagomål mail.docx", "A 43766-2023")</f>
        <v/>
      </c>
      <c r="AC42">
        <f>HYPERLINK("https://klasma.github.io/Logging_0764/tillsyn/A 43766-2023 tillsynsbegäran.docx", "A 43766-2023")</f>
        <v/>
      </c>
      <c r="AD42">
        <f>HYPERLINK("https://klasma.github.io/Logging_0764/tillsynsmail/A 43766-2023 tillsynsbegäran mail.docx", "A 43766-2023")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46291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46291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37608-2022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46291</v>
      </c>
      <c r="F45" t="inlineStr">
        <is>
          <t>KRONOBERGS LÄN</t>
        </is>
      </c>
      <c r="G45" t="inlineStr">
        <is>
          <t>ALVESTA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Gropticka</t>
        </is>
      </c>
      <c r="W45">
        <f>HYPERLINK("https://klasma.github.io/Logging_0764/artfynd/A 37608-2022 artfynd.xlsx", "A 37608-2022")</f>
        <v/>
      </c>
      <c r="X45">
        <f>HYPERLINK("https://klasma.github.io/Logging_0764/kartor/A 37608-2022 karta.png", "A 37608-2022")</f>
        <v/>
      </c>
      <c r="Y45">
        <f>HYPERLINK("https://klasma.github.io/Logging_0764/kartor_geotiff/A 37608-2022 georefererad karta.tif", "A 37608-2022")</f>
        <v/>
      </c>
      <c r="AA45">
        <f>HYPERLINK("https://klasma.github.io/Logging_0764/klagomål/A 37608-2022 FSC-klagomål.docx", "A 37608-2022")</f>
        <v/>
      </c>
      <c r="AB45">
        <f>HYPERLINK("https://klasma.github.io/Logging_0764/klagomålsmail/A 37608-2022 FSC-klagomål mail.docx", "A 37608-2022")</f>
        <v/>
      </c>
      <c r="AC45">
        <f>HYPERLINK("https://klasma.github.io/Logging_0764/tillsyn/A 37608-2022 tillsynsbegäran.docx", "A 37608-2022")</f>
        <v/>
      </c>
      <c r="AD45">
        <f>HYPERLINK("https://klasma.github.io/Logging_0764/tillsynsmail/A 37608-2022 tillsynsbegäran mail.docx", "A 37608-2022")</f>
        <v/>
      </c>
    </row>
    <row r="46" ht="15" customHeight="1">
      <c r="A46" t="inlineStr">
        <is>
          <t>A 22238-2024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46291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1</v>
      </c>
      <c r="V46" s="2" t="inlineStr">
        <is>
          <t>Klockgentiana</t>
        </is>
      </c>
      <c r="W46">
        <f>HYPERLINK("https://klasma.github.io/Logging_0764/artfynd/A 22238-2024 artfynd.xlsx", "A 22238-2024")</f>
        <v/>
      </c>
      <c r="X46">
        <f>HYPERLINK("https://klasma.github.io/Logging_0764/kartor/A 22238-2024 karta.png", "A 22238-2024")</f>
        <v/>
      </c>
      <c r="Y46">
        <f>HYPERLINK("https://klasma.github.io/Logging_0764/kartor_geotiff/A 22238-2024 georefererad karta.tif", "A 22238-2024")</f>
        <v/>
      </c>
      <c r="AA46">
        <f>HYPERLINK("https://klasma.github.io/Logging_0764/klagomål/A 22238-2024 FSC-klagomål.docx", "A 22238-2024")</f>
        <v/>
      </c>
      <c r="AB46">
        <f>HYPERLINK("https://klasma.github.io/Logging_0764/klagomålsmail/A 22238-2024 FSC-klagomål mail.docx", "A 22238-2024")</f>
        <v/>
      </c>
      <c r="AC46">
        <f>HYPERLINK("https://klasma.github.io/Logging_0764/tillsyn/A 22238-2024 tillsynsbegäran.docx", "A 22238-2024")</f>
        <v/>
      </c>
      <c r="AD46">
        <f>HYPERLINK("https://klasma.github.io/Logging_0764/tillsynsmail/A 22238-2024 tillsynsbegäran mail.docx", "A 22238-2024")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46291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29382-2023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45106</v>
      </c>
      <c r="E48" s="1" t="n">
        <v>46291</v>
      </c>
      <c r="F48" t="inlineStr">
        <is>
          <t>KRONOBERGS LÄN</t>
        </is>
      </c>
      <c r="G48" t="inlineStr">
        <is>
          <t>ALVESTA</t>
        </is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29382-2023 artfynd.xlsx", "A 29382-2023")</f>
        <v/>
      </c>
      <c r="X48">
        <f>HYPERLINK("https://klasma.github.io/Logging_0764/kartor/A 29382-2023 karta.png", "A 29382-2023")</f>
        <v/>
      </c>
      <c r="Y48">
        <f>HYPERLINK("https://klasma.github.io/Logging_0764/kartor_geotiff/A 29382-2023 georefererad karta.tif", "A 29382-2023")</f>
        <v/>
      </c>
      <c r="AA48">
        <f>HYPERLINK("https://klasma.github.io/Logging_0764/klagomål/A 29382-2023 FSC-klagomål.docx", "A 29382-2023")</f>
        <v/>
      </c>
      <c r="AB48">
        <f>HYPERLINK("https://klasma.github.io/Logging_0764/klagomålsmail/A 29382-2023 FSC-klagomål mail.docx", "A 29382-2023")</f>
        <v/>
      </c>
      <c r="AC48">
        <f>HYPERLINK("https://klasma.github.io/Logging_0764/tillsyn/A 29382-2023 tillsynsbegäran.docx", "A 29382-2023")</f>
        <v/>
      </c>
      <c r="AD48">
        <f>HYPERLINK("https://klasma.github.io/Logging_0764/tillsynsmail/A 29382-2023 tillsynsbegäran mail.docx", "A 29382-2023")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46291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46291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1811-2025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45670</v>
      </c>
      <c r="E51" s="1" t="n">
        <v>46291</v>
      </c>
      <c r="F51" t="inlineStr">
        <is>
          <t>KRONOBERGS LÄN</t>
        </is>
      </c>
      <c r="G51" t="inlineStr">
        <is>
          <t>ALVESTA</t>
        </is>
      </c>
      <c r="H51" t="inlineStr">
        <is>
          <t>Kyrkan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Spillkråka</t>
        </is>
      </c>
      <c r="W51">
        <f>HYPERLINK("https://klasma.github.io/Logging_0764/artfynd/A 1811-2025 artfynd.xlsx", "A 1811-2025")</f>
        <v/>
      </c>
      <c r="X51">
        <f>HYPERLINK("https://klasma.github.io/Logging_0764/kartor/A 1811-2025 karta.png", "A 1811-2025")</f>
        <v/>
      </c>
      <c r="Y51">
        <f>HYPERLINK("https://klasma.github.io/Logging_0764/kartor_geotiff/A 1811-2025 georefererad karta.tif", "A 1811-2025")</f>
        <v/>
      </c>
      <c r="AA51">
        <f>HYPERLINK("https://klasma.github.io/Logging_0764/klagomål/A 1811-2025 FSC-klagomål.docx", "A 1811-2025")</f>
        <v/>
      </c>
      <c r="AB51">
        <f>HYPERLINK("https://klasma.github.io/Logging_0764/klagomålsmail/A 1811-2025 FSC-klagomål mail.docx", "A 1811-2025")</f>
        <v/>
      </c>
      <c r="AC51">
        <f>HYPERLINK("https://klasma.github.io/Logging_0764/tillsyn/A 1811-2025 tillsynsbegäran.docx", "A 1811-2025")</f>
        <v/>
      </c>
      <c r="AD51">
        <f>HYPERLINK("https://klasma.github.io/Logging_0764/tillsynsmail/A 1811-2025 tillsynsbegäran mail.docx", "A 1811-2025")</f>
        <v/>
      </c>
      <c r="AE51">
        <f>HYPERLINK("https://klasma.github.io/Logging_0764/fåglar/A 1811-2025 prioriterade fågelarter.docx", "A 1811-2025")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46291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46291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46291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46291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46291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46291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46291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46291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46291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46291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46291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46291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46291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46291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46291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46291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46291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46291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46291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46291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46291</v>
      </c>
      <c r="F72" t="inlineStr">
        <is>
          <t>KRONOBERGS LÄN</t>
        </is>
      </c>
      <c r="G72" t="inlineStr">
        <is>
          <t>ALVESTA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46291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46291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46291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46291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46291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46291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46291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46291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46291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46291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46291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46291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46291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46291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46291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46291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46291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46291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46291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46291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46291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46291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46291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46291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46291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46291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46291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53937-2021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44469</v>
      </c>
      <c r="E100" s="1" t="n">
        <v>46291</v>
      </c>
      <c r="F100" t="inlineStr">
        <is>
          <t>KRONOBERGS LÄN</t>
        </is>
      </c>
      <c r="G100" t="inlineStr">
        <is>
          <t>ALVESTA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46291</v>
      </c>
      <c r="F101" t="inlineStr">
        <is>
          <t>KRONOBERGS LÄN</t>
        </is>
      </c>
      <c r="G101" t="inlineStr">
        <is>
          <t>ALVESTA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46291</v>
      </c>
      <c r="F102" t="inlineStr">
        <is>
          <t>KRONOBERGS LÄN</t>
        </is>
      </c>
      <c r="G102" t="inlineStr">
        <is>
          <t>ALVESTA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44706</v>
      </c>
      <c r="E103" s="1" t="n">
        <v>46291</v>
      </c>
      <c r="F103" t="inlineStr">
        <is>
          <t>KRONOBERGS LÄN</t>
        </is>
      </c>
      <c r="G103" t="inlineStr">
        <is>
          <t>ALVESTA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46291</v>
      </c>
      <c r="F104" t="inlineStr">
        <is>
          <t>KRONOBERGS LÄN</t>
        </is>
      </c>
      <c r="G104" t="inlineStr">
        <is>
          <t>ALVESTA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44804</v>
      </c>
      <c r="E105" s="1" t="n">
        <v>46291</v>
      </c>
      <c r="F105" t="inlineStr">
        <is>
          <t>KRONOBERGS LÄN</t>
        </is>
      </c>
      <c r="G105" t="inlineStr">
        <is>
          <t>ALVESTA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46291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45329</v>
      </c>
      <c r="E107" s="1" t="n">
        <v>46291</v>
      </c>
      <c r="F107" t="inlineStr">
        <is>
          <t>KRONOBERGS LÄN</t>
        </is>
      </c>
      <c r="G107" t="inlineStr">
        <is>
          <t>ALVESTA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46291</v>
      </c>
      <c r="F108" t="inlineStr">
        <is>
          <t>KRONOBERGS LÄN</t>
        </is>
      </c>
      <c r="G108" t="inlineStr">
        <is>
          <t>ALVESTA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46291</v>
      </c>
      <c r="F109" t="inlineStr">
        <is>
          <t>KRONOBERGS LÄN</t>
        </is>
      </c>
      <c r="G109" t="inlineStr">
        <is>
          <t>ALVESTA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46291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46291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45105</v>
      </c>
      <c r="E112" s="1" t="n">
        <v>46291</v>
      </c>
      <c r="F112" t="inlineStr">
        <is>
          <t>KRONOBERGS LÄN</t>
        </is>
      </c>
      <c r="G112" t="inlineStr">
        <is>
          <t>ALVESTA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46291</v>
      </c>
      <c r="F113" t="inlineStr">
        <is>
          <t>KRONOBERGS LÄN</t>
        </is>
      </c>
      <c r="G113" t="inlineStr">
        <is>
          <t>ALVESTA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46291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46291</v>
      </c>
      <c r="F115" t="inlineStr">
        <is>
          <t>KRONOBERGS LÄN</t>
        </is>
      </c>
      <c r="G115" t="inlineStr">
        <is>
          <t>ALVESTA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46291</v>
      </c>
      <c r="F116" t="inlineStr">
        <is>
          <t>KRONOBERGS LÄN</t>
        </is>
      </c>
      <c r="G116" t="inlineStr">
        <is>
          <t>ALVESTA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45698</v>
      </c>
      <c r="E117" s="1" t="n">
        <v>46291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45136</v>
      </c>
      <c r="E118" s="1" t="n">
        <v>46291</v>
      </c>
      <c r="F118" t="inlineStr">
        <is>
          <t>KRONOBERGS LÄN</t>
        </is>
      </c>
      <c r="G118" t="inlineStr">
        <is>
          <t>ALVESTA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46291</v>
      </c>
      <c r="F119" t="inlineStr">
        <is>
          <t>KRONOBERGS LÄN</t>
        </is>
      </c>
      <c r="G119" t="inlineStr">
        <is>
          <t>ALVESTA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46291</v>
      </c>
      <c r="F120" t="inlineStr">
        <is>
          <t>KRONOBERGS LÄN</t>
        </is>
      </c>
      <c r="G120" t="inlineStr">
        <is>
          <t>ALVESTA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46291</v>
      </c>
      <c r="F121" t="inlineStr">
        <is>
          <t>KRONOBERGS LÄN</t>
        </is>
      </c>
      <c r="G121" t="inlineStr">
        <is>
          <t>ALVESTA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60478-2023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45259</v>
      </c>
      <c r="E122" s="1" t="n">
        <v>46291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46291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46291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46291</v>
      </c>
      <c r="F125" t="inlineStr">
        <is>
          <t>KRONOBERGS LÄN</t>
        </is>
      </c>
      <c r="G125" t="inlineStr">
        <is>
          <t>ALVESTA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46291</v>
      </c>
      <c r="F126" t="inlineStr">
        <is>
          <t>KRONOBERGS LÄN</t>
        </is>
      </c>
      <c r="G126" t="inlineStr">
        <is>
          <t>ALVESTA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46291</v>
      </c>
      <c r="F127" t="inlineStr">
        <is>
          <t>KRONOBERGS LÄN</t>
        </is>
      </c>
      <c r="G127" t="inlineStr">
        <is>
          <t>ALVESTA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46291</v>
      </c>
      <c r="F128" t="inlineStr">
        <is>
          <t>KRONOBERGS LÄN</t>
        </is>
      </c>
      <c r="G128" t="inlineStr">
        <is>
          <t>ALVESTA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46291</v>
      </c>
      <c r="F129" t="inlineStr">
        <is>
          <t>KRONOBERGS LÄN</t>
        </is>
      </c>
      <c r="G129" t="inlineStr">
        <is>
          <t>ALVESTA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46291</v>
      </c>
      <c r="F130" t="inlineStr">
        <is>
          <t>KRONOBERGS LÄN</t>
        </is>
      </c>
      <c r="G130" t="inlineStr">
        <is>
          <t>ALVESTA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45320</v>
      </c>
      <c r="E131" s="1" t="n">
        <v>46291</v>
      </c>
      <c r="F131" t="inlineStr">
        <is>
          <t>KRONOBERGS LÄN</t>
        </is>
      </c>
      <c r="G131" t="inlineStr">
        <is>
          <t>ALVESTA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50733-2023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45217</v>
      </c>
      <c r="E132" s="1" t="n">
        <v>46291</v>
      </c>
      <c r="F132" t="inlineStr">
        <is>
          <t>KRONOBERGS LÄN</t>
        </is>
      </c>
      <c r="G132" t="inlineStr">
        <is>
          <t>ALVESTA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46291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46291</v>
      </c>
      <c r="F134" t="inlineStr">
        <is>
          <t>KRONOBERGS LÄN</t>
        </is>
      </c>
      <c r="G134" t="inlineStr">
        <is>
          <t>ALVESTA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46291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46291</v>
      </c>
      <c r="F136" t="inlineStr">
        <is>
          <t>KRONOBERGS LÄN</t>
        </is>
      </c>
      <c r="G136" t="inlineStr">
        <is>
          <t>ALVESTA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46291</v>
      </c>
      <c r="F137" t="inlineStr">
        <is>
          <t>KRONOBERGS LÄN</t>
        </is>
      </c>
      <c r="G137" t="inlineStr">
        <is>
          <t>ALVESTA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62704-2021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44504</v>
      </c>
      <c r="E138" s="1" t="n">
        <v>46291</v>
      </c>
      <c r="F138" t="inlineStr">
        <is>
          <t>KRONOBERGS LÄN</t>
        </is>
      </c>
      <c r="G138" t="inlineStr">
        <is>
          <t>ALVESTA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46291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46291</v>
      </c>
      <c r="F140" t="inlineStr">
        <is>
          <t>KRONOBERGS LÄN</t>
        </is>
      </c>
      <c r="G140" t="inlineStr">
        <is>
          <t>ALVESTA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25220-2025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45798</v>
      </c>
      <c r="E141" s="1" t="n">
        <v>46291</v>
      </c>
      <c r="F141" t="inlineStr">
        <is>
          <t>KRONOBERGS LÄN</t>
        </is>
      </c>
      <c r="G141" t="inlineStr">
        <is>
          <t>ALVESTA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46291</v>
      </c>
      <c r="F142" t="inlineStr">
        <is>
          <t>KRONOBERGS LÄN</t>
        </is>
      </c>
      <c r="G142" t="inlineStr">
        <is>
          <t>ALVESTA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45015</v>
      </c>
      <c r="E143" s="1" t="n">
        <v>46291</v>
      </c>
      <c r="F143" t="inlineStr">
        <is>
          <t>KRONOBERGS LÄN</t>
        </is>
      </c>
      <c r="G143" t="inlineStr">
        <is>
          <t>ALVESTA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46291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45418</v>
      </c>
      <c r="E145" s="1" t="n">
        <v>46291</v>
      </c>
      <c r="F145" t="inlineStr">
        <is>
          <t>KRONOBERGS LÄN</t>
        </is>
      </c>
      <c r="G145" t="inlineStr">
        <is>
          <t>ALVESTA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46291</v>
      </c>
      <c r="F146" t="inlineStr">
        <is>
          <t>KRONOBERGS LÄN</t>
        </is>
      </c>
      <c r="G146" t="inlineStr">
        <is>
          <t>ALVESTA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46291</v>
      </c>
      <c r="F147" t="inlineStr">
        <is>
          <t>KRONOBERGS LÄN</t>
        </is>
      </c>
      <c r="G147" t="inlineStr">
        <is>
          <t>ALVESTA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46291</v>
      </c>
      <c r="F148" t="inlineStr">
        <is>
          <t>KRONOBERGS LÄN</t>
        </is>
      </c>
      <c r="G148" t="inlineStr">
        <is>
          <t>ALVESTA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45804</v>
      </c>
      <c r="E149" s="1" t="n">
        <v>46291</v>
      </c>
      <c r="F149" t="inlineStr">
        <is>
          <t>KRONOBERGS LÄN</t>
        </is>
      </c>
      <c r="G149" t="inlineStr">
        <is>
          <t>ALVESTA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45518</v>
      </c>
      <c r="E150" s="1" t="n">
        <v>46291</v>
      </c>
      <c r="F150" t="inlineStr">
        <is>
          <t>KRONOBERGS LÄN</t>
        </is>
      </c>
      <c r="G150" t="inlineStr">
        <is>
          <t>ALVESTA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44873</v>
      </c>
      <c r="E151" s="1" t="n">
        <v>46291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46291</v>
      </c>
      <c r="F152" t="inlineStr">
        <is>
          <t>KRONOBERGS LÄN</t>
        </is>
      </c>
      <c r="G152" t="inlineStr">
        <is>
          <t>ALVESTA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44957</v>
      </c>
      <c r="E153" s="1" t="n">
        <v>46291</v>
      </c>
      <c r="F153" t="inlineStr">
        <is>
          <t>KRONOBERGS LÄN</t>
        </is>
      </c>
      <c r="G153" t="inlineStr">
        <is>
          <t>ALVESTA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46291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45305</v>
      </c>
      <c r="E155" s="1" t="n">
        <v>46291</v>
      </c>
      <c r="F155" t="inlineStr">
        <is>
          <t>KRONOBERGS LÄN</t>
        </is>
      </c>
      <c r="G155" t="inlineStr">
        <is>
          <t>ALVESTA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45518</v>
      </c>
      <c r="E156" s="1" t="n">
        <v>46291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45362</v>
      </c>
      <c r="E157" s="1" t="n">
        <v>46291</v>
      </c>
      <c r="F157" t="inlineStr">
        <is>
          <t>KRONOBERGS LÄN</t>
        </is>
      </c>
      <c r="G157" t="inlineStr">
        <is>
          <t>ALVESTA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46291</v>
      </c>
      <c r="F158" t="inlineStr">
        <is>
          <t>KRONOBERGS LÄN</t>
        </is>
      </c>
      <c r="G158" t="inlineStr">
        <is>
          <t>ALVESTA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46291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46291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46291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44818-2024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45574</v>
      </c>
      <c r="E162" s="1" t="n">
        <v>46291</v>
      </c>
      <c r="F162" t="inlineStr">
        <is>
          <t>KRONOBERGS LÄN</t>
        </is>
      </c>
      <c r="G162" t="inlineStr">
        <is>
          <t>ALVESTA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46291</v>
      </c>
      <c r="F163" t="inlineStr">
        <is>
          <t>KRONOBERGS LÄN</t>
        </is>
      </c>
      <c r="G163" t="inlineStr">
        <is>
          <t>ALVESTA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46291</v>
      </c>
      <c r="F164" t="inlineStr">
        <is>
          <t>KRONOBERGS LÄN</t>
        </is>
      </c>
      <c r="G164" t="inlineStr">
        <is>
          <t>ALVESTA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6489-2022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44601</v>
      </c>
      <c r="E165" s="1" t="n">
        <v>46291</v>
      </c>
      <c r="F165" t="inlineStr">
        <is>
          <t>KRONOBERGS LÄN</t>
        </is>
      </c>
      <c r="G165" t="inlineStr">
        <is>
          <t>ALVESTA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46291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46291</v>
      </c>
      <c r="F167" t="inlineStr">
        <is>
          <t>KRONOBERGS LÄN</t>
        </is>
      </c>
      <c r="G167" t="inlineStr">
        <is>
          <t>ALVESTA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46291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46291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45362</v>
      </c>
      <c r="E170" s="1" t="n">
        <v>46291</v>
      </c>
      <c r="F170" t="inlineStr">
        <is>
          <t>KRONOBERGS LÄN</t>
        </is>
      </c>
      <c r="G170" t="inlineStr">
        <is>
          <t>ALVESTA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46291</v>
      </c>
      <c r="F171" t="inlineStr">
        <is>
          <t>KRONOBERGS LÄN</t>
        </is>
      </c>
      <c r="G171" t="inlineStr">
        <is>
          <t>ALVESTA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46291</v>
      </c>
      <c r="F172" t="inlineStr">
        <is>
          <t>KRONOBERGS LÄN</t>
        </is>
      </c>
      <c r="G172" t="inlineStr">
        <is>
          <t>ALVESTA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46291</v>
      </c>
      <c r="F173" t="inlineStr">
        <is>
          <t>KRONOBERGS LÄN</t>
        </is>
      </c>
      <c r="G173" t="inlineStr">
        <is>
          <t>ALVESTA</t>
        </is>
      </c>
      <c r="H173" t="inlineStr">
        <is>
          <t>Kyrkan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46291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46058</v>
      </c>
      <c r="E175" s="1" t="n">
        <v>46291</v>
      </c>
      <c r="F175" t="inlineStr">
        <is>
          <t>KRONOBERGS LÄN</t>
        </is>
      </c>
      <c r="G175" t="inlineStr">
        <is>
          <t>ALVESTA</t>
        </is>
      </c>
      <c r="I175" t="n">
        <v>9.6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46291</v>
      </c>
      <c r="F176" t="inlineStr">
        <is>
          <t>KRONOBERGS LÄN</t>
        </is>
      </c>
      <c r="G176" t="inlineStr">
        <is>
          <t>ALVESTA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45447</v>
      </c>
      <c r="E177" s="1" t="n">
        <v>46291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46291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46291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44528-2025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45916</v>
      </c>
      <c r="E180" s="1" t="n">
        <v>46291</v>
      </c>
      <c r="F180" t="inlineStr">
        <is>
          <t>KRONOBERGS LÄN</t>
        </is>
      </c>
      <c r="G180" t="inlineStr">
        <is>
          <t>ALVESTA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44189-2025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46291</v>
      </c>
      <c r="F181" t="inlineStr">
        <is>
          <t>KRONOBERGS LÄN</t>
        </is>
      </c>
      <c r="G181" t="inlineStr">
        <is>
          <t>ALVESTA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46291</v>
      </c>
      <c r="F182" t="inlineStr">
        <is>
          <t>KRONOBERGS LÄN</t>
        </is>
      </c>
      <c r="G182" t="inlineStr">
        <is>
          <t>ALVESTA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46291</v>
      </c>
      <c r="F183" t="inlineStr">
        <is>
          <t>KRONOBERGS LÄN</t>
        </is>
      </c>
      <c r="G183" t="inlineStr">
        <is>
          <t>ALVESTA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46291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46291</v>
      </c>
      <c r="F185" t="inlineStr">
        <is>
          <t>KRONOBERGS LÄN</t>
        </is>
      </c>
      <c r="G185" t="inlineStr">
        <is>
          <t>ALVESTA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46064</v>
      </c>
      <c r="E186" s="1" t="n">
        <v>46291</v>
      </c>
      <c r="F186" t="inlineStr">
        <is>
          <t>KRONOBERGS LÄN</t>
        </is>
      </c>
      <c r="G186" t="inlineStr">
        <is>
          <t>ALVESTA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46291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46291</v>
      </c>
      <c r="F188" t="inlineStr">
        <is>
          <t>KRONOBERGS LÄN</t>
        </is>
      </c>
      <c r="G188" t="inlineStr">
        <is>
          <t>ALVESTA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46291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45546</v>
      </c>
      <c r="E190" s="1" t="n">
        <v>46291</v>
      </c>
      <c r="F190" t="inlineStr">
        <is>
          <t>KRONOBERGS LÄN</t>
        </is>
      </c>
      <c r="G190" t="inlineStr">
        <is>
          <t>ALVESTA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21438-2025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46291</v>
      </c>
      <c r="F191" t="inlineStr">
        <is>
          <t>KRONOBERGS LÄN</t>
        </is>
      </c>
      <c r="G191" t="inlineStr">
        <is>
          <t>ALVESTA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46291</v>
      </c>
      <c r="F192" t="inlineStr">
        <is>
          <t>KRONOBERGS LÄN</t>
        </is>
      </c>
      <c r="G192" t="inlineStr">
        <is>
          <t>ALVESTA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45476</v>
      </c>
      <c r="E193" s="1" t="n">
        <v>46291</v>
      </c>
      <c r="F193" t="inlineStr">
        <is>
          <t>KRONOBERGS LÄN</t>
        </is>
      </c>
      <c r="G193" t="inlineStr">
        <is>
          <t>ALVESTA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44838</v>
      </c>
      <c r="E194" s="1" t="n">
        <v>46291</v>
      </c>
      <c r="F194" t="inlineStr">
        <is>
          <t>KRONOBERGS LÄN</t>
        </is>
      </c>
      <c r="G194" t="inlineStr">
        <is>
          <t>ALVESTA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45860</v>
      </c>
      <c r="E195" s="1" t="n">
        <v>46291</v>
      </c>
      <c r="F195" t="inlineStr">
        <is>
          <t>KRONOBERGS LÄN</t>
        </is>
      </c>
      <c r="G195" t="inlineStr">
        <is>
          <t>ALVESTA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46291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42467-2024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46291</v>
      </c>
      <c r="F197" t="inlineStr">
        <is>
          <t>KRONOBERGS LÄN</t>
        </is>
      </c>
      <c r="G197" t="inlineStr">
        <is>
          <t>ALVESTA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46291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46291</v>
      </c>
      <c r="F199" t="inlineStr">
        <is>
          <t>KRONOBERGS LÄN</t>
        </is>
      </c>
      <c r="G199" t="inlineStr">
        <is>
          <t>ALVESTA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46291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46291</v>
      </c>
      <c r="F201" t="inlineStr">
        <is>
          <t>KRONOBERGS LÄN</t>
        </is>
      </c>
      <c r="G201" t="inlineStr">
        <is>
          <t>ALVESTA</t>
        </is>
      </c>
      <c r="H201" t="inlineStr">
        <is>
          <t>Kommuner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46291</v>
      </c>
      <c r="F202" t="inlineStr">
        <is>
          <t>KRONOBERGS LÄN</t>
        </is>
      </c>
      <c r="G202" t="inlineStr">
        <is>
          <t>ALVESTA</t>
        </is>
      </c>
      <c r="H202" t="inlineStr">
        <is>
          <t>Kommuner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44972</v>
      </c>
      <c r="E203" s="1" t="n">
        <v>46291</v>
      </c>
      <c r="F203" t="inlineStr">
        <is>
          <t>KRONOBERGS LÄN</t>
        </is>
      </c>
      <c r="G203" t="inlineStr">
        <is>
          <t>ALVESTA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11331-2026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46081</v>
      </c>
      <c r="E204" s="1" t="n">
        <v>46291</v>
      </c>
      <c r="F204" t="inlineStr">
        <is>
          <t>KRONOBERGS LÄN</t>
        </is>
      </c>
      <c r="G204" t="inlineStr">
        <is>
          <t>ALVESTA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45338</v>
      </c>
      <c r="E205" s="1" t="n">
        <v>46291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46291</v>
      </c>
      <c r="F206" t="inlineStr">
        <is>
          <t>KRONOBERGS LÄN</t>
        </is>
      </c>
      <c r="G206" t="inlineStr">
        <is>
          <t>ALVESTA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46291</v>
      </c>
      <c r="F207" t="inlineStr">
        <is>
          <t>KRONOBERGS LÄN</t>
        </is>
      </c>
      <c r="G207" t="inlineStr">
        <is>
          <t>ALVESTA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46291</v>
      </c>
      <c r="F208" t="inlineStr">
        <is>
          <t>KRONOBERGS LÄN</t>
        </is>
      </c>
      <c r="G208" t="inlineStr">
        <is>
          <t>ALVESTA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46291</v>
      </c>
      <c r="F209" t="inlineStr">
        <is>
          <t>KRONOBERGS LÄN</t>
        </is>
      </c>
      <c r="G209" t="inlineStr">
        <is>
          <t>ALVESTA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12258-2026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46087</v>
      </c>
      <c r="E210" s="1" t="n">
        <v>46291</v>
      </c>
      <c r="F210" t="inlineStr">
        <is>
          <t>KRONOBERGS LÄN</t>
        </is>
      </c>
      <c r="G210" t="inlineStr">
        <is>
          <t>ALVESTA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45933</v>
      </c>
      <c r="E211" s="1" t="n">
        <v>46291</v>
      </c>
      <c r="F211" t="inlineStr">
        <is>
          <t>KRONOBERGS LÄN</t>
        </is>
      </c>
      <c r="G211" t="inlineStr">
        <is>
          <t>ALVESTA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46291</v>
      </c>
      <c r="F212" t="inlineStr">
        <is>
          <t>KRONOBERGS LÄN</t>
        </is>
      </c>
      <c r="G212" t="inlineStr">
        <is>
          <t>ALVESTA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46291</v>
      </c>
      <c r="F213" t="inlineStr">
        <is>
          <t>KRONOBERGS LÄN</t>
        </is>
      </c>
      <c r="G213" t="inlineStr">
        <is>
          <t>ALVESTA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46291</v>
      </c>
      <c r="F214" t="inlineStr">
        <is>
          <t>KRONOBERGS LÄN</t>
        </is>
      </c>
      <c r="G214" t="inlineStr">
        <is>
          <t>ALVESTA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46291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46098</v>
      </c>
      <c r="E216" s="1" t="n">
        <v>46291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13811-2026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46291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60487-2023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45259</v>
      </c>
      <c r="E218" s="1" t="n">
        <v>46291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46291</v>
      </c>
      <c r="F219" t="inlineStr">
        <is>
          <t>KRONOBERGS LÄN</t>
        </is>
      </c>
      <c r="G219" t="inlineStr">
        <is>
          <t>ALVESTA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46291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46291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15533-2026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46291</v>
      </c>
      <c r="F222" t="inlineStr">
        <is>
          <t>KRONOBERGS LÄN</t>
        </is>
      </c>
      <c r="G222" t="inlineStr">
        <is>
          <t>ALVESTA</t>
        </is>
      </c>
      <c r="H222" t="inlineStr">
        <is>
          <t>Övriga Aktiebolag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46291</v>
      </c>
      <c r="F223" t="inlineStr">
        <is>
          <t>KRONOBERGS LÄN</t>
        </is>
      </c>
      <c r="G223" t="inlineStr">
        <is>
          <t>ALVESTA</t>
        </is>
      </c>
      <c r="H223" t="inlineStr">
        <is>
          <t>Övriga Aktiebolag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46291</v>
      </c>
      <c r="F224" t="inlineStr">
        <is>
          <t>KRONOBERGS LÄN</t>
        </is>
      </c>
      <c r="G224" t="inlineStr">
        <is>
          <t>ALVESTA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46291</v>
      </c>
      <c r="F225" t="inlineStr">
        <is>
          <t>KRONOBERGS LÄN</t>
        </is>
      </c>
      <c r="G225" t="inlineStr">
        <is>
          <t>ALVESTA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46291</v>
      </c>
      <c r="F226" t="inlineStr">
        <is>
          <t>KRONOBERGS LÄN</t>
        </is>
      </c>
      <c r="G226" t="inlineStr">
        <is>
          <t>ALVESTA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46291</v>
      </c>
      <c r="F227" t="inlineStr">
        <is>
          <t>KRONOBERGS LÄN</t>
        </is>
      </c>
      <c r="G227" t="inlineStr">
        <is>
          <t>ALVESTA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46291</v>
      </c>
      <c r="F228" t="inlineStr">
        <is>
          <t>KRONOBERGS LÄN</t>
        </is>
      </c>
      <c r="G228" t="inlineStr">
        <is>
          <t>ALVESTA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45712</v>
      </c>
      <c r="E229" s="1" t="n">
        <v>46291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26381-2022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44735</v>
      </c>
      <c r="E230" s="1" t="n">
        <v>46291</v>
      </c>
      <c r="F230" t="inlineStr">
        <is>
          <t>KRONOBERGS LÄN</t>
        </is>
      </c>
      <c r="G230" t="inlineStr">
        <is>
          <t>ALVESTA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46291</v>
      </c>
      <c r="F231" t="inlineStr">
        <is>
          <t>KRONOBERGS LÄN</t>
        </is>
      </c>
      <c r="G231" t="inlineStr">
        <is>
          <t>ALVESTA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45426</v>
      </c>
      <c r="E232" s="1" t="n">
        <v>46291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46291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17823-2026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46122</v>
      </c>
      <c r="E234" s="1" t="n">
        <v>46291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46291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46291</v>
      </c>
      <c r="F236" t="inlineStr">
        <is>
          <t>KRONOBERGS LÄN</t>
        </is>
      </c>
      <c r="G236" t="inlineStr">
        <is>
          <t>ALVESTA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17801-2026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46122</v>
      </c>
      <c r="E237" s="1" t="n">
        <v>46291</v>
      </c>
      <c r="F237" t="inlineStr">
        <is>
          <t>KRONOBERGS LÄN</t>
        </is>
      </c>
      <c r="G237" t="inlineStr">
        <is>
          <t>ALVESTA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46122</v>
      </c>
      <c r="E238" s="1" t="n">
        <v>46291</v>
      </c>
      <c r="F238" t="inlineStr">
        <is>
          <t>KRONOBERGS LÄN</t>
        </is>
      </c>
      <c r="G238" t="inlineStr">
        <is>
          <t>ALVESTA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54383-2025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46291</v>
      </c>
      <c r="F239" t="inlineStr">
        <is>
          <t>KRONOBERGS LÄN</t>
        </is>
      </c>
      <c r="G239" t="inlineStr">
        <is>
          <t>ALVESTA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46291</v>
      </c>
      <c r="F240" t="inlineStr">
        <is>
          <t>KRONOBERGS LÄN</t>
        </is>
      </c>
      <c r="G240" t="inlineStr">
        <is>
          <t>ALVESTA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46291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46291</v>
      </c>
      <c r="F242" t="inlineStr">
        <is>
          <t>KRONOBERGS LÄN</t>
        </is>
      </c>
      <c r="G242" t="inlineStr">
        <is>
          <t>ALVESTA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46291</v>
      </c>
      <c r="F243" t="inlineStr">
        <is>
          <t>KRONOBERGS LÄN</t>
        </is>
      </c>
      <c r="G243" t="inlineStr">
        <is>
          <t>ALVESTA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46291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46291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46291</v>
      </c>
      <c r="F246" t="inlineStr">
        <is>
          <t>KRONOBERGS LÄN</t>
        </is>
      </c>
      <c r="G246" t="inlineStr">
        <is>
          <t>ALVESTA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46291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45079</v>
      </c>
      <c r="E248" s="1" t="n">
        <v>46291</v>
      </c>
      <c r="F248" t="inlineStr">
        <is>
          <t>KRONOBERGS LÄN</t>
        </is>
      </c>
      <c r="G248" t="inlineStr">
        <is>
          <t>ALVESTA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26225-2022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44735</v>
      </c>
      <c r="E249" s="1" t="n">
        <v>46291</v>
      </c>
      <c r="F249" t="inlineStr">
        <is>
          <t>KRONOBERGS LÄN</t>
        </is>
      </c>
      <c r="G249" t="inlineStr">
        <is>
          <t>ALVESTA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46291</v>
      </c>
      <c r="F250" t="inlineStr">
        <is>
          <t>KRONOBERGS LÄN</t>
        </is>
      </c>
      <c r="G250" t="inlineStr">
        <is>
          <t>ALVESTA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44805</v>
      </c>
      <c r="E251" s="1" t="n">
        <v>46291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46291</v>
      </c>
      <c r="F252" t="inlineStr">
        <is>
          <t>KRONOBERGS LÄN</t>
        </is>
      </c>
      <c r="G252" t="inlineStr">
        <is>
          <t>ALVESTA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46291</v>
      </c>
      <c r="F253" t="inlineStr">
        <is>
          <t>KRONOBERGS LÄN</t>
        </is>
      </c>
      <c r="G253" t="inlineStr">
        <is>
          <t>ALVESTA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46291</v>
      </c>
      <c r="F254" t="inlineStr">
        <is>
          <t>KRONOBERGS LÄN</t>
        </is>
      </c>
      <c r="G254" t="inlineStr">
        <is>
          <t>ALVESTA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46291</v>
      </c>
      <c r="F255" t="inlineStr">
        <is>
          <t>KRONOBERGS LÄN</t>
        </is>
      </c>
      <c r="G255" t="inlineStr">
        <is>
          <t>ALVESTA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46291</v>
      </c>
      <c r="F256" t="inlineStr">
        <is>
          <t>KRONOBERGS LÄN</t>
        </is>
      </c>
      <c r="G256" t="inlineStr">
        <is>
          <t>ALVESTA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46291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39263-2023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45166</v>
      </c>
      <c r="E258" s="1" t="n">
        <v>46291</v>
      </c>
      <c r="F258" t="inlineStr">
        <is>
          <t>KRONOBERGS LÄN</t>
        </is>
      </c>
      <c r="G258" t="inlineStr">
        <is>
          <t>ALVESTA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46291</v>
      </c>
      <c r="F259" t="inlineStr">
        <is>
          <t>KRONOBERGS LÄN</t>
        </is>
      </c>
      <c r="G259" t="inlineStr">
        <is>
          <t>ALVESTA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46291</v>
      </c>
      <c r="F260" t="inlineStr">
        <is>
          <t>KRONOBERGS LÄN</t>
        </is>
      </c>
      <c r="G260" t="inlineStr">
        <is>
          <t>ALVESTA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46291</v>
      </c>
      <c r="F261" t="inlineStr">
        <is>
          <t>KRONOBERGS LÄN</t>
        </is>
      </c>
      <c r="G261" t="inlineStr">
        <is>
          <t>ALVESTA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46132</v>
      </c>
      <c r="E262" s="1" t="n">
        <v>46291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45385</v>
      </c>
      <c r="E263" s="1" t="n">
        <v>46291</v>
      </c>
      <c r="F263" t="inlineStr">
        <is>
          <t>KRONOBERGS LÄN</t>
        </is>
      </c>
      <c r="G263" t="inlineStr">
        <is>
          <t>ALVESTA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46291</v>
      </c>
      <c r="F264" t="inlineStr">
        <is>
          <t>KRONOBERGS LÄN</t>
        </is>
      </c>
      <c r="G264" t="inlineStr">
        <is>
          <t>ALVESTA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44747</v>
      </c>
      <c r="E265" s="1" t="n">
        <v>46291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45471</v>
      </c>
      <c r="E266" s="1" t="n">
        <v>46291</v>
      </c>
      <c r="F266" t="inlineStr">
        <is>
          <t>KRONOBERGS LÄN</t>
        </is>
      </c>
      <c r="G266" t="inlineStr">
        <is>
          <t>ALVESTA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45300</v>
      </c>
      <c r="E267" s="1" t="n">
        <v>46291</v>
      </c>
      <c r="F267" t="inlineStr">
        <is>
          <t>KRONOBERGS LÄN</t>
        </is>
      </c>
      <c r="G267" t="inlineStr">
        <is>
          <t>ALVESTA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45614</v>
      </c>
      <c r="E268" s="1" t="n">
        <v>46291</v>
      </c>
      <c r="F268" t="inlineStr">
        <is>
          <t>KRONOBERGS LÄN</t>
        </is>
      </c>
      <c r="G268" t="inlineStr">
        <is>
          <t>ALVESTA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46291</v>
      </c>
      <c r="F269" t="inlineStr">
        <is>
          <t>KRONOBERGS LÄN</t>
        </is>
      </c>
      <c r="G269" t="inlineStr">
        <is>
          <t>ALVESTA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46291</v>
      </c>
      <c r="F270" t="inlineStr">
        <is>
          <t>KRONOBERGS LÄN</t>
        </is>
      </c>
      <c r="G270" t="inlineStr">
        <is>
          <t>ALVESTA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46291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46291</v>
      </c>
      <c r="F272" t="inlineStr">
        <is>
          <t>KRONOBERGS LÄN</t>
        </is>
      </c>
      <c r="G272" t="inlineStr">
        <is>
          <t>ALVESTA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46291</v>
      </c>
      <c r="F273" t="inlineStr">
        <is>
          <t>KRONOBERGS LÄN</t>
        </is>
      </c>
      <c r="G273" t="inlineStr">
        <is>
          <t>ALVESTA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45856</v>
      </c>
      <c r="E274" s="1" t="n">
        <v>46291</v>
      </c>
      <c r="F274" t="inlineStr">
        <is>
          <t>KRONOBERGS LÄN</t>
        </is>
      </c>
      <c r="G274" t="inlineStr">
        <is>
          <t>ALVESTA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32760-2022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44783</v>
      </c>
      <c r="E275" s="1" t="n">
        <v>46291</v>
      </c>
      <c r="F275" t="inlineStr">
        <is>
          <t>KRONOBERGS LÄN</t>
        </is>
      </c>
      <c r="G275" t="inlineStr">
        <is>
          <t>ALVESTA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46291</v>
      </c>
      <c r="F276" t="inlineStr">
        <is>
          <t>KRONOBERGS LÄN</t>
        </is>
      </c>
      <c r="G276" t="inlineStr">
        <is>
          <t>ALVESTA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46291</v>
      </c>
      <c r="F277" t="inlineStr">
        <is>
          <t>KRONOBERGS LÄN</t>
        </is>
      </c>
      <c r="G277" t="inlineStr">
        <is>
          <t>ALVESTA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46291</v>
      </c>
      <c r="F278" t="inlineStr">
        <is>
          <t>KRONOBERGS LÄN</t>
        </is>
      </c>
      <c r="G278" t="inlineStr">
        <is>
          <t>ALVESTA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45673</v>
      </c>
      <c r="E279" s="1" t="n">
        <v>46291</v>
      </c>
      <c r="F279" t="inlineStr">
        <is>
          <t>KRONOBERGS LÄN</t>
        </is>
      </c>
      <c r="G279" t="inlineStr">
        <is>
          <t>ALVESTA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46291</v>
      </c>
      <c r="F280" t="inlineStr">
        <is>
          <t>KRONOBERGS LÄN</t>
        </is>
      </c>
      <c r="G280" t="inlineStr">
        <is>
          <t>ALVESTA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46291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45664</v>
      </c>
      <c r="E282" s="1" t="n">
        <v>46291</v>
      </c>
      <c r="F282" t="inlineStr">
        <is>
          <t>KRONOBERGS LÄN</t>
        </is>
      </c>
      <c r="G282" t="inlineStr">
        <is>
          <t>ALVESTA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59340-2025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45989</v>
      </c>
      <c r="E283" s="1" t="n">
        <v>46291</v>
      </c>
      <c r="F283" t="inlineStr">
        <is>
          <t>KRONOBERGS LÄN</t>
        </is>
      </c>
      <c r="G283" t="inlineStr">
        <is>
          <t>ALVESTA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28225-2025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46291</v>
      </c>
      <c r="F284" t="inlineStr">
        <is>
          <t>KRONOBERGS LÄN</t>
        </is>
      </c>
      <c r="G284" t="inlineStr">
        <is>
          <t>ALVESTA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58648-2024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45635</v>
      </c>
      <c r="E285" s="1" t="n">
        <v>46291</v>
      </c>
      <c r="F285" t="inlineStr">
        <is>
          <t>KRONOBERGS LÄN</t>
        </is>
      </c>
      <c r="G285" t="inlineStr">
        <is>
          <t>ALVESTA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46291</v>
      </c>
      <c r="F286" t="inlineStr">
        <is>
          <t>KRONOBERGS LÄN</t>
        </is>
      </c>
      <c r="G286" t="inlineStr">
        <is>
          <t>ALVESTA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46291</v>
      </c>
      <c r="F287" t="inlineStr">
        <is>
          <t>KRONOBERGS LÄN</t>
        </is>
      </c>
      <c r="G287" t="inlineStr">
        <is>
          <t>ALVESTA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46291</v>
      </c>
      <c r="F288" t="inlineStr">
        <is>
          <t>KRONOBERGS LÄN</t>
        </is>
      </c>
      <c r="G288" t="inlineStr">
        <is>
          <t>ALVESTA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45722</v>
      </c>
      <c r="E289" s="1" t="n">
        <v>46291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46291</v>
      </c>
      <c r="F290" t="inlineStr">
        <is>
          <t>KRONOBERGS LÄN</t>
        </is>
      </c>
      <c r="G290" t="inlineStr">
        <is>
          <t>ALVESTA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45005</v>
      </c>
      <c r="E291" s="1" t="n">
        <v>46291</v>
      </c>
      <c r="F291" t="inlineStr">
        <is>
          <t>KRONOBERGS LÄN</t>
        </is>
      </c>
      <c r="G291" t="inlineStr">
        <is>
          <t>ALVESTA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46291</v>
      </c>
      <c r="F292" t="inlineStr">
        <is>
          <t>KRONOBERGS LÄN</t>
        </is>
      </c>
      <c r="G292" t="inlineStr">
        <is>
          <t>ALVESTA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46291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46291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45385</v>
      </c>
      <c r="E295" s="1" t="n">
        <v>46291</v>
      </c>
      <c r="F295" t="inlineStr">
        <is>
          <t>KRONOBERGS LÄN</t>
        </is>
      </c>
      <c r="G295" t="inlineStr">
        <is>
          <t>ALVESTA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40049-2022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44820</v>
      </c>
      <c r="E296" s="1" t="n">
        <v>46291</v>
      </c>
      <c r="F296" t="inlineStr">
        <is>
          <t>KRONOBERGS LÄN</t>
        </is>
      </c>
      <c r="G296" t="inlineStr">
        <is>
          <t>ALVESTA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46291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44951</v>
      </c>
      <c r="E298" s="1" t="n">
        <v>46291</v>
      </c>
      <c r="F298" t="inlineStr">
        <is>
          <t>KRONOBERGS LÄN</t>
        </is>
      </c>
      <c r="G298" t="inlineStr">
        <is>
          <t>ALVESTA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60700-2025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45996</v>
      </c>
      <c r="E299" s="1" t="n">
        <v>46291</v>
      </c>
      <c r="F299" t="inlineStr">
        <is>
          <t>KRONOBERGS LÄN</t>
        </is>
      </c>
      <c r="G299" t="inlineStr">
        <is>
          <t>ALVESTA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45644</v>
      </c>
      <c r="E300" s="1" t="n">
        <v>46291</v>
      </c>
      <c r="F300" t="inlineStr">
        <is>
          <t>KRONOBERGS LÄN</t>
        </is>
      </c>
      <c r="G300" t="inlineStr">
        <is>
          <t>ALVESTA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46291</v>
      </c>
      <c r="F301" t="inlineStr">
        <is>
          <t>KRONOBERGS LÄN</t>
        </is>
      </c>
      <c r="G301" t="inlineStr">
        <is>
          <t>ALVESTA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32978-2023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46291</v>
      </c>
      <c r="F302" t="inlineStr">
        <is>
          <t>KRONOBERGS LÄN</t>
        </is>
      </c>
      <c r="G302" t="inlineStr">
        <is>
          <t>ALVESTA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46291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46291</v>
      </c>
      <c r="F304" t="inlineStr">
        <is>
          <t>KRONOBERGS LÄN</t>
        </is>
      </c>
      <c r="G304" t="inlineStr">
        <is>
          <t>ALVESTA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46291</v>
      </c>
      <c r="F305" t="inlineStr">
        <is>
          <t>KRONOBERGS LÄN</t>
        </is>
      </c>
      <c r="G305" t="inlineStr">
        <is>
          <t>ALVESTA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46291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45858</v>
      </c>
      <c r="E307" s="1" t="n">
        <v>46291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45476</v>
      </c>
      <c r="E308" s="1" t="n">
        <v>46291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46291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45763</v>
      </c>
      <c r="E310" s="1" t="n">
        <v>46291</v>
      </c>
      <c r="F310" t="inlineStr">
        <is>
          <t>KRONOBERGS LÄN</t>
        </is>
      </c>
      <c r="G310" t="inlineStr">
        <is>
          <t>ALVESTA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46291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46291</v>
      </c>
      <c r="F312" t="inlineStr">
        <is>
          <t>KRONOBERGS LÄN</t>
        </is>
      </c>
      <c r="G312" t="inlineStr">
        <is>
          <t>ALVESTA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46291</v>
      </c>
      <c r="F313" t="inlineStr">
        <is>
          <t>KRONOBERGS LÄN</t>
        </is>
      </c>
      <c r="G313" t="inlineStr">
        <is>
          <t>ALVESTA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46291</v>
      </c>
      <c r="F314" t="inlineStr">
        <is>
          <t>KRONOBERGS LÄN</t>
        </is>
      </c>
      <c r="G314" t="inlineStr">
        <is>
          <t>ALVESTA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45092</v>
      </c>
      <c r="E315" s="1" t="n">
        <v>46291</v>
      </c>
      <c r="F315" t="inlineStr">
        <is>
          <t>KRONOBERGS LÄN</t>
        </is>
      </c>
      <c r="G315" t="inlineStr">
        <is>
          <t>ALVESTA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45821</v>
      </c>
      <c r="E316" s="1" t="n">
        <v>46291</v>
      </c>
      <c r="F316" t="inlineStr">
        <is>
          <t>KRONOBERGS LÄN</t>
        </is>
      </c>
      <c r="G316" t="inlineStr">
        <is>
          <t>ALVESTA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46291</v>
      </c>
      <c r="F317" t="inlineStr">
        <is>
          <t>KRONOBERGS LÄN</t>
        </is>
      </c>
      <c r="G317" t="inlineStr">
        <is>
          <t>ALVESTA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45247</v>
      </c>
      <c r="E318" s="1" t="n">
        <v>46291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46291</v>
      </c>
      <c r="F319" t="inlineStr">
        <is>
          <t>KRONOBERGS LÄN</t>
        </is>
      </c>
      <c r="G319" t="inlineStr">
        <is>
          <t>ALVESTA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46291</v>
      </c>
      <c r="F320" t="inlineStr">
        <is>
          <t>KRONOBERGS LÄN</t>
        </is>
      </c>
      <c r="G320" t="inlineStr">
        <is>
          <t>ALVESTA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44805</v>
      </c>
      <c r="E321" s="1" t="n">
        <v>46291</v>
      </c>
      <c r="F321" t="inlineStr">
        <is>
          <t>KRONOBERGS LÄN</t>
        </is>
      </c>
      <c r="G321" t="inlineStr">
        <is>
          <t>ALVESTA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45771</v>
      </c>
      <c r="E322" s="1" t="n">
        <v>46291</v>
      </c>
      <c r="F322" t="inlineStr">
        <is>
          <t>KRONOBERGS LÄN</t>
        </is>
      </c>
      <c r="G322" t="inlineStr">
        <is>
          <t>ALVESTA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46291</v>
      </c>
      <c r="F323" t="inlineStr">
        <is>
          <t>KRONOBERGS LÄN</t>
        </is>
      </c>
      <c r="G323" t="inlineStr">
        <is>
          <t>ALVESTA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34220-2024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45524</v>
      </c>
      <c r="E324" s="1" t="n">
        <v>46291</v>
      </c>
      <c r="F324" t="inlineStr">
        <is>
          <t>KRONOBERGS LÄN</t>
        </is>
      </c>
      <c r="G324" t="inlineStr">
        <is>
          <t>ALVESTA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46291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46291</v>
      </c>
      <c r="F326" t="inlineStr">
        <is>
          <t>KRONOBERGS LÄN</t>
        </is>
      </c>
      <c r="G326" t="inlineStr">
        <is>
          <t>ALVESTA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46291</v>
      </c>
      <c r="F327" t="inlineStr">
        <is>
          <t>KRONOBERGS LÄN</t>
        </is>
      </c>
      <c r="G327" t="inlineStr">
        <is>
          <t>ALVESTA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45103</v>
      </c>
      <c r="E328" s="1" t="n">
        <v>46291</v>
      </c>
      <c r="F328" t="inlineStr">
        <is>
          <t>KRONOBERGS LÄN</t>
        </is>
      </c>
      <c r="G328" t="inlineStr">
        <is>
          <t>ALVESTA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23353-2023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46291</v>
      </c>
      <c r="F329" t="inlineStr">
        <is>
          <t>KRONOBERGS LÄN</t>
        </is>
      </c>
      <c r="G329" t="inlineStr">
        <is>
          <t>ALVESTA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46291</v>
      </c>
      <c r="F330" t="inlineStr">
        <is>
          <t>KRONOBERGS LÄN</t>
        </is>
      </c>
      <c r="G330" t="inlineStr">
        <is>
          <t>ALVESTA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51210-2022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44868</v>
      </c>
      <c r="E331" s="1" t="n">
        <v>46291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28818-2022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46291</v>
      </c>
      <c r="F332" t="inlineStr">
        <is>
          <t>KRONOBERGS LÄN</t>
        </is>
      </c>
      <c r="G332" t="inlineStr">
        <is>
          <t>ALVESTA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46291</v>
      </c>
      <c r="F333" t="inlineStr">
        <is>
          <t>KRONOBERGS LÄN</t>
        </is>
      </c>
      <c r="G333" t="inlineStr">
        <is>
          <t>ALVESTA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44880</v>
      </c>
      <c r="E334" s="1" t="n">
        <v>46291</v>
      </c>
      <c r="F334" t="inlineStr">
        <is>
          <t>KRONOBERGS LÄN</t>
        </is>
      </c>
      <c r="G334" t="inlineStr">
        <is>
          <t>ALVESTA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46291</v>
      </c>
      <c r="F335" t="inlineStr">
        <is>
          <t>KRONOBERGS LÄN</t>
        </is>
      </c>
      <c r="G335" t="inlineStr">
        <is>
          <t>ALVESTA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46291</v>
      </c>
      <c r="F336" t="inlineStr">
        <is>
          <t>KRONOBERGS LÄN</t>
        </is>
      </c>
      <c r="G336" t="inlineStr">
        <is>
          <t>ALVESTA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46291</v>
      </c>
      <c r="F337" t="inlineStr">
        <is>
          <t>KRONOBERGS LÄN</t>
        </is>
      </c>
      <c r="G337" t="inlineStr">
        <is>
          <t>ALVESTA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46291</v>
      </c>
      <c r="F338" t="inlineStr">
        <is>
          <t>KRONOBERGS LÄN</t>
        </is>
      </c>
      <c r="G338" t="inlineStr">
        <is>
          <t>ALVESTA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45128</v>
      </c>
      <c r="E339" s="1" t="n">
        <v>46291</v>
      </c>
      <c r="F339" t="inlineStr">
        <is>
          <t>KRONOBERGS LÄN</t>
        </is>
      </c>
      <c r="G339" t="inlineStr">
        <is>
          <t>ALVESTA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46291</v>
      </c>
      <c r="F340" t="inlineStr">
        <is>
          <t>KRONOBERGS LÄN</t>
        </is>
      </c>
      <c r="G340" t="inlineStr">
        <is>
          <t>ALVESTA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45337</v>
      </c>
      <c r="E341" s="1" t="n">
        <v>46291</v>
      </c>
      <c r="F341" t="inlineStr">
        <is>
          <t>KRONOBERGS LÄN</t>
        </is>
      </c>
      <c r="G341" t="inlineStr">
        <is>
          <t>ALVESTA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31439-2025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46291</v>
      </c>
      <c r="F342" t="inlineStr">
        <is>
          <t>KRONOBERGS LÄN</t>
        </is>
      </c>
      <c r="G342" t="inlineStr">
        <is>
          <t>ALVESTA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46291</v>
      </c>
      <c r="F343" t="inlineStr">
        <is>
          <t>KRONOBERGS LÄN</t>
        </is>
      </c>
      <c r="G343" t="inlineStr">
        <is>
          <t>ALVESTA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45078</v>
      </c>
      <c r="E344" s="1" t="n">
        <v>46291</v>
      </c>
      <c r="F344" t="inlineStr">
        <is>
          <t>KRONOBERGS LÄN</t>
        </is>
      </c>
      <c r="G344" t="inlineStr">
        <is>
          <t>ALVESTA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46291</v>
      </c>
      <c r="F345" t="inlineStr">
        <is>
          <t>KRONOBERGS LÄN</t>
        </is>
      </c>
      <c r="G345" t="inlineStr">
        <is>
          <t>ALVESTA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46291</v>
      </c>
      <c r="F346" t="inlineStr">
        <is>
          <t>KRONOBERGS LÄN</t>
        </is>
      </c>
      <c r="G346" t="inlineStr">
        <is>
          <t>ALVESTA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45296</v>
      </c>
      <c r="E347" s="1" t="n">
        <v>46291</v>
      </c>
      <c r="F347" t="inlineStr">
        <is>
          <t>KRONOBERGS LÄN</t>
        </is>
      </c>
      <c r="G347" t="inlineStr">
        <is>
          <t>ALVESTA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45744</v>
      </c>
      <c r="E348" s="1" t="n">
        <v>46291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46291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46291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45726</v>
      </c>
      <c r="E351" s="1" t="n">
        <v>46291</v>
      </c>
      <c r="F351" t="inlineStr">
        <is>
          <t>KRONOBERGS LÄN</t>
        </is>
      </c>
      <c r="G351" t="inlineStr">
        <is>
          <t>ALVESTA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45436</v>
      </c>
      <c r="E352" s="1" t="n">
        <v>46291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45854</v>
      </c>
      <c r="E353" s="1" t="n">
        <v>46291</v>
      </c>
      <c r="F353" t="inlineStr">
        <is>
          <t>KRONOBERGS LÄN</t>
        </is>
      </c>
      <c r="G353" t="inlineStr">
        <is>
          <t>ALVESTA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45436</v>
      </c>
      <c r="E354" s="1" t="n">
        <v>46291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38875-2022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44816</v>
      </c>
      <c r="E355" s="1" t="n">
        <v>46291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40612-2025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46291</v>
      </c>
      <c r="F356" t="inlineStr">
        <is>
          <t>KRONOBERGS LÄN</t>
        </is>
      </c>
      <c r="G356" t="inlineStr">
        <is>
          <t>ALVESTA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45015</v>
      </c>
      <c r="E357" s="1" t="n">
        <v>46291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45110</v>
      </c>
      <c r="E358" s="1" t="n">
        <v>46291</v>
      </c>
      <c r="F358" t="inlineStr">
        <is>
          <t>KRONOBERGS LÄN</t>
        </is>
      </c>
      <c r="G358" t="inlineStr">
        <is>
          <t>ALVESTA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59492-2022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46291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46291</v>
      </c>
      <c r="F360" t="inlineStr">
        <is>
          <t>KRONOBERGS LÄN</t>
        </is>
      </c>
      <c r="G360" t="inlineStr">
        <is>
          <t>ALVESTA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46291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46291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46291</v>
      </c>
      <c r="F363" t="inlineStr">
        <is>
          <t>KRONOBERGS LÄN</t>
        </is>
      </c>
      <c r="G363" t="inlineStr">
        <is>
          <t>ALVESTA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46291</v>
      </c>
      <c r="F364" t="inlineStr">
        <is>
          <t>KRONOBERGS LÄN</t>
        </is>
      </c>
      <c r="G364" t="inlineStr">
        <is>
          <t>ALVESTA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46291</v>
      </c>
      <c r="F365" t="inlineStr">
        <is>
          <t>KRONOBERGS LÄN</t>
        </is>
      </c>
      <c r="G365" t="inlineStr">
        <is>
          <t>ALVESTA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45847</v>
      </c>
      <c r="E366" s="1" t="n">
        <v>46291</v>
      </c>
      <c r="F366" t="inlineStr">
        <is>
          <t>KRONOBERGS LÄN</t>
        </is>
      </c>
      <c r="G366" t="inlineStr">
        <is>
          <t>ALVESTA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46291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45852</v>
      </c>
      <c r="E368" s="1" t="n">
        <v>46291</v>
      </c>
      <c r="F368" t="inlineStr">
        <is>
          <t>KRONOBERGS LÄN</t>
        </is>
      </c>
      <c r="G368" t="inlineStr">
        <is>
          <t>ALVESTA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46291</v>
      </c>
      <c r="F369" t="inlineStr">
        <is>
          <t>KRONOBERGS LÄN</t>
        </is>
      </c>
      <c r="G369" t="inlineStr">
        <is>
          <t>ALVESTA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24420-2026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46169</v>
      </c>
      <c r="E370" s="1" t="n">
        <v>46291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24419-2026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46169</v>
      </c>
      <c r="E371" s="1" t="n">
        <v>46291</v>
      </c>
      <c r="F371" t="inlineStr">
        <is>
          <t>KRONOBERGS LÄN</t>
        </is>
      </c>
      <c r="G371" t="inlineStr">
        <is>
          <t>ALVESTA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46291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46291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60202-2021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44495</v>
      </c>
      <c r="E374" s="1" t="n">
        <v>46291</v>
      </c>
      <c r="F374" t="inlineStr">
        <is>
          <t>KRONOBERGS LÄN</t>
        </is>
      </c>
      <c r="G374" t="inlineStr">
        <is>
          <t>ALVESTA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46291</v>
      </c>
      <c r="F375" t="inlineStr">
        <is>
          <t>KRONOBERGS LÄN</t>
        </is>
      </c>
      <c r="G375" t="inlineStr">
        <is>
          <t>ALVESTA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46291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48692-2024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45593</v>
      </c>
      <c r="E377" s="1" t="n">
        <v>46291</v>
      </c>
      <c r="F377" t="inlineStr">
        <is>
          <t>KRONOBERGS LÄN</t>
        </is>
      </c>
      <c r="G377" t="inlineStr">
        <is>
          <t>ALVESTA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24692-2026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46171</v>
      </c>
      <c r="E378" s="1" t="n">
        <v>46291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46291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46291</v>
      </c>
      <c r="F380" t="inlineStr">
        <is>
          <t>KRONOBERGS LÄN</t>
        </is>
      </c>
      <c r="G380" t="inlineStr">
        <is>
          <t>ALVESTA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46291</v>
      </c>
      <c r="F381" t="inlineStr">
        <is>
          <t>KRONOBERGS LÄN</t>
        </is>
      </c>
      <c r="G381" t="inlineStr">
        <is>
          <t>ALVESTA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46291</v>
      </c>
      <c r="F382" t="inlineStr">
        <is>
          <t>KRONOBERGS LÄN</t>
        </is>
      </c>
      <c r="G382" t="inlineStr">
        <is>
          <t>ALVESTA</t>
        </is>
      </c>
      <c r="H382" t="inlineStr">
        <is>
          <t>Kommuner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46291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46291</v>
      </c>
      <c r="F384" t="inlineStr">
        <is>
          <t>KRONOBERGS LÄN</t>
        </is>
      </c>
      <c r="G384" t="inlineStr">
        <is>
          <t>ALVESTA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44925</v>
      </c>
      <c r="E385" s="1" t="n">
        <v>46291</v>
      </c>
      <c r="F385" t="inlineStr">
        <is>
          <t>KRONOBERGS LÄN</t>
        </is>
      </c>
      <c r="G385" t="inlineStr">
        <is>
          <t>ALVESTA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36345-2025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45868</v>
      </c>
      <c r="E386" s="1" t="n">
        <v>46291</v>
      </c>
      <c r="F386" t="inlineStr">
        <is>
          <t>KRONOBERGS LÄN</t>
        </is>
      </c>
      <c r="G386" t="inlineStr">
        <is>
          <t>ALVESTA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6475-2022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44601</v>
      </c>
      <c r="E387" s="1" t="n">
        <v>46291</v>
      </c>
      <c r="F387" t="inlineStr">
        <is>
          <t>KRONOBERGS LÄN</t>
        </is>
      </c>
      <c r="G387" t="inlineStr">
        <is>
          <t>ALVESTA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46291</v>
      </c>
      <c r="F388" t="inlineStr">
        <is>
          <t>KRONOBERGS LÄN</t>
        </is>
      </c>
      <c r="G388" t="inlineStr">
        <is>
          <t>ALVESTA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46291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37278-2024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45540</v>
      </c>
      <c r="E390" s="1" t="n">
        <v>46291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45467</v>
      </c>
      <c r="E391" s="1" t="n">
        <v>46291</v>
      </c>
      <c r="F391" t="inlineStr">
        <is>
          <t>KRONOBERGS LÄN</t>
        </is>
      </c>
      <c r="G391" t="inlineStr">
        <is>
          <t>ALVESTA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46291</v>
      </c>
      <c r="F392" t="inlineStr">
        <is>
          <t>KRONOBERGS LÄN</t>
        </is>
      </c>
      <c r="G392" t="inlineStr">
        <is>
          <t>ALVESTA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45482</v>
      </c>
      <c r="E393" s="1" t="n">
        <v>46291</v>
      </c>
      <c r="F393" t="inlineStr">
        <is>
          <t>KRONOBERGS LÄN</t>
        </is>
      </c>
      <c r="G393" t="inlineStr">
        <is>
          <t>ALVESTA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45000</v>
      </c>
      <c r="E394" s="1" t="n">
        <v>46291</v>
      </c>
      <c r="F394" t="inlineStr">
        <is>
          <t>KRONOBERGS LÄN</t>
        </is>
      </c>
      <c r="G394" t="inlineStr">
        <is>
          <t>ALVESTA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45563</v>
      </c>
      <c r="E395" s="1" t="n">
        <v>46291</v>
      </c>
      <c r="F395" t="inlineStr">
        <is>
          <t>KRONOBERGS LÄN</t>
        </is>
      </c>
      <c r="G395" t="inlineStr">
        <is>
          <t>ALVESTA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46291</v>
      </c>
      <c r="F396" t="inlineStr">
        <is>
          <t>KRONOBERGS LÄN</t>
        </is>
      </c>
      <c r="G396" t="inlineStr">
        <is>
          <t>ALVESTA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45771</v>
      </c>
      <c r="E397" s="1" t="n">
        <v>46291</v>
      </c>
      <c r="F397" t="inlineStr">
        <is>
          <t>KRONOBERGS LÄN</t>
        </is>
      </c>
      <c r="G397" t="inlineStr">
        <is>
          <t>ALVESTA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46291</v>
      </c>
      <c r="F398" t="inlineStr">
        <is>
          <t>KRONOBERGS LÄN</t>
        </is>
      </c>
      <c r="G398" t="inlineStr">
        <is>
          <t>ALVESTA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46291</v>
      </c>
      <c r="F399" t="inlineStr">
        <is>
          <t>KRONOBERGS LÄN</t>
        </is>
      </c>
      <c r="G399" t="inlineStr">
        <is>
          <t>ALVESTA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45632</v>
      </c>
      <c r="E400" s="1" t="n">
        <v>46291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17787-2024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45418</v>
      </c>
      <c r="E401" s="1" t="n">
        <v>46291</v>
      </c>
      <c r="F401" t="inlineStr">
        <is>
          <t>KRONOBERGS LÄN</t>
        </is>
      </c>
      <c r="G401" t="inlineStr">
        <is>
          <t>ALVESTA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46291</v>
      </c>
      <c r="F402" t="inlineStr">
        <is>
          <t>KRONOBERGS LÄN</t>
        </is>
      </c>
      <c r="G402" t="inlineStr">
        <is>
          <t>ALVESTA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53452-2024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45614</v>
      </c>
      <c r="E403" s="1" t="n">
        <v>46291</v>
      </c>
      <c r="F403" t="inlineStr">
        <is>
          <t>KRONOBERGS LÄN</t>
        </is>
      </c>
      <c r="G403" t="inlineStr">
        <is>
          <t>ALVESTA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27032-2026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46185</v>
      </c>
      <c r="E404" s="1" t="n">
        <v>46291</v>
      </c>
      <c r="F404" t="inlineStr">
        <is>
          <t>KRONOBERGS LÄN</t>
        </is>
      </c>
      <c r="G404" t="inlineStr">
        <is>
          <t>ALVESTA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60157-2024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45642</v>
      </c>
      <c r="E405" s="1" t="n">
        <v>46291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27077-2026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46186</v>
      </c>
      <c r="E406" s="1" t="n">
        <v>46291</v>
      </c>
      <c r="F406" t="inlineStr">
        <is>
          <t>KRONOBERGS LÄN</t>
        </is>
      </c>
      <c r="G406" t="inlineStr">
        <is>
          <t>ALVESTA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38890-2023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46291</v>
      </c>
      <c r="F407" t="inlineStr">
        <is>
          <t>KRONOBERGS LÄN</t>
        </is>
      </c>
      <c r="G407" t="inlineStr">
        <is>
          <t>ALVESTA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6835-2024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45342</v>
      </c>
      <c r="E408" s="1" t="n">
        <v>46291</v>
      </c>
      <c r="F408" t="inlineStr">
        <is>
          <t>KRONOBERGS LÄN</t>
        </is>
      </c>
      <c r="G408" t="inlineStr">
        <is>
          <t>ALVESTA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33059-2024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45517</v>
      </c>
      <c r="E409" s="1" t="n">
        <v>46291</v>
      </c>
      <c r="F409" t="inlineStr">
        <is>
          <t>KRONOBERGS LÄN</t>
        </is>
      </c>
      <c r="G409" t="inlineStr">
        <is>
          <t>ALVESTA</t>
        </is>
      </c>
      <c r="H409" t="inlineStr">
        <is>
          <t>Kyrkan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46291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46291</v>
      </c>
      <c r="F411" t="inlineStr">
        <is>
          <t>KRONOBERGS LÄN</t>
        </is>
      </c>
      <c r="G411" t="inlineStr">
        <is>
          <t>ALVESTA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45699</v>
      </c>
      <c r="E412" s="1" t="n">
        <v>46291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45613</v>
      </c>
      <c r="E413" s="1" t="n">
        <v>46291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46291</v>
      </c>
      <c r="F414" t="inlineStr">
        <is>
          <t>KRONOBERGS LÄN</t>
        </is>
      </c>
      <c r="G414" t="inlineStr">
        <is>
          <t>ALVESTA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45009</v>
      </c>
      <c r="E415" s="1" t="n">
        <v>46291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44998</v>
      </c>
      <c r="E416" s="1" t="n">
        <v>46291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45632</v>
      </c>
      <c r="E417" s="1" t="n">
        <v>46291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45875</v>
      </c>
      <c r="E418" s="1" t="n">
        <v>46291</v>
      </c>
      <c r="F418" t="inlineStr">
        <is>
          <t>KRONOBERGS LÄN</t>
        </is>
      </c>
      <c r="G418" t="inlineStr">
        <is>
          <t>ALVESTA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52087-2024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46291</v>
      </c>
      <c r="F419" t="inlineStr">
        <is>
          <t>KRONOBERGS LÄN</t>
        </is>
      </c>
      <c r="G419" t="inlineStr">
        <is>
          <t>ALVESTA</t>
        </is>
      </c>
      <c r="H419" t="inlineStr">
        <is>
          <t>Övriga Aktiebolag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22563-2024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45447</v>
      </c>
      <c r="E420" s="1" t="n">
        <v>46291</v>
      </c>
      <c r="F420" t="inlineStr">
        <is>
          <t>KRONOBERGS LÄN</t>
        </is>
      </c>
      <c r="G420" t="inlineStr">
        <is>
          <t>ALVESTA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45210</v>
      </c>
      <c r="E421" s="1" t="n">
        <v>46291</v>
      </c>
      <c r="F421" t="inlineStr">
        <is>
          <t>KRONOBERGS LÄN</t>
        </is>
      </c>
      <c r="G421" t="inlineStr">
        <is>
          <t>ALVESTA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45114</v>
      </c>
      <c r="E422" s="1" t="n">
        <v>46291</v>
      </c>
      <c r="F422" t="inlineStr">
        <is>
          <t>KRONOBERGS LÄN</t>
        </is>
      </c>
      <c r="G422" t="inlineStr">
        <is>
          <t>ALVESTA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760-2022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44569</v>
      </c>
      <c r="E423" s="1" t="n">
        <v>46291</v>
      </c>
      <c r="F423" t="inlineStr">
        <is>
          <t>KRONOBERGS LÄN</t>
        </is>
      </c>
      <c r="G423" t="inlineStr">
        <is>
          <t>ALVESTA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7287-2022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44606</v>
      </c>
      <c r="E424" s="1" t="n">
        <v>46291</v>
      </c>
      <c r="F424" t="inlineStr">
        <is>
          <t>KRONOBERGS LÄN</t>
        </is>
      </c>
      <c r="G424" t="inlineStr">
        <is>
          <t>ALVESTA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12818-2025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45733</v>
      </c>
      <c r="E425" s="1" t="n">
        <v>46291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46291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46291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50976-2023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45218</v>
      </c>
      <c r="E428" s="1" t="n">
        <v>46291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45471</v>
      </c>
      <c r="E429" s="1" t="n">
        <v>46291</v>
      </c>
      <c r="F429" t="inlineStr">
        <is>
          <t>KRONOBERGS LÄN</t>
        </is>
      </c>
      <c r="G429" t="inlineStr">
        <is>
          <t>ALVESTA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45471</v>
      </c>
      <c r="E430" s="1" t="n">
        <v>46291</v>
      </c>
      <c r="F430" t="inlineStr">
        <is>
          <t>KRONOBERGS LÄN</t>
        </is>
      </c>
      <c r="G430" t="inlineStr">
        <is>
          <t>ALVESTA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45608</v>
      </c>
      <c r="E431" s="1" t="n">
        <v>46291</v>
      </c>
      <c r="F431" t="inlineStr">
        <is>
          <t>KRONOBERGS LÄN</t>
        </is>
      </c>
      <c r="G431" t="inlineStr">
        <is>
          <t>ALVESTA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45338</v>
      </c>
      <c r="E432" s="1" t="n">
        <v>46291</v>
      </c>
      <c r="F432" t="inlineStr">
        <is>
          <t>KRONOBERGS LÄN</t>
        </is>
      </c>
      <c r="G432" t="inlineStr">
        <is>
          <t>ALVESTA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6368-2024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45338</v>
      </c>
      <c r="E433" s="1" t="n">
        <v>46291</v>
      </c>
      <c r="F433" t="inlineStr">
        <is>
          <t>KRONOBERGS LÄN</t>
        </is>
      </c>
      <c r="G433" t="inlineStr">
        <is>
          <t>ALVESTA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45345</v>
      </c>
      <c r="E434" s="1" t="n">
        <v>46291</v>
      </c>
      <c r="F434" t="inlineStr">
        <is>
          <t>KRONOBERGS LÄN</t>
        </is>
      </c>
      <c r="G434" t="inlineStr">
        <is>
          <t>ALVESTA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52103-2024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45608</v>
      </c>
      <c r="E435" s="1" t="n">
        <v>46291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67331-2021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44523</v>
      </c>
      <c r="E436" s="1" t="n">
        <v>46291</v>
      </c>
      <c r="F436" t="inlineStr">
        <is>
          <t>KRONOBERGS LÄN</t>
        </is>
      </c>
      <c r="G436" t="inlineStr">
        <is>
          <t>ALVESTA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44581</v>
      </c>
      <c r="E437" s="1" t="n">
        <v>46291</v>
      </c>
      <c r="F437" t="inlineStr">
        <is>
          <t>KRONOBERGS LÄN</t>
        </is>
      </c>
      <c r="G437" t="inlineStr">
        <is>
          <t>ALVESTA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45608</v>
      </c>
      <c r="E438" s="1" t="n">
        <v>46291</v>
      </c>
      <c r="F438" t="inlineStr">
        <is>
          <t>KRONOBERGS LÄN</t>
        </is>
      </c>
      <c r="G438" t="inlineStr">
        <is>
          <t>ALVESTA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46291</v>
      </c>
      <c r="F439" t="inlineStr">
        <is>
          <t>KRONOBERGS LÄN</t>
        </is>
      </c>
      <c r="G439" t="inlineStr">
        <is>
          <t>ALVESTA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46291</v>
      </c>
      <c r="F440" t="inlineStr">
        <is>
          <t>KRONOBERGS LÄN</t>
        </is>
      </c>
      <c r="G440" t="inlineStr">
        <is>
          <t>ALVESTA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43656-2023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45187</v>
      </c>
      <c r="E441" s="1" t="n">
        <v>46291</v>
      </c>
      <c r="F441" t="inlineStr">
        <is>
          <t>KRONOBERGS LÄN</t>
        </is>
      </c>
      <c r="G441" t="inlineStr">
        <is>
          <t>ALVESTA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46291</v>
      </c>
      <c r="F442" t="inlineStr">
        <is>
          <t>KRONOBERGS LÄN</t>
        </is>
      </c>
      <c r="G442" t="inlineStr">
        <is>
          <t>ALVESTA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46291</v>
      </c>
      <c r="F443" t="inlineStr">
        <is>
          <t>KRONOBERGS LÄN</t>
        </is>
      </c>
      <c r="G443" t="inlineStr">
        <is>
          <t>ALVESTA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45366</v>
      </c>
      <c r="E444" s="1" t="n">
        <v>46291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29763-2026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46291</v>
      </c>
      <c r="F445" t="inlineStr">
        <is>
          <t>KRONOBERGS LÄN</t>
        </is>
      </c>
      <c r="G445" t="inlineStr">
        <is>
          <t>ALVESTA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46291</v>
      </c>
      <c r="F446" t="inlineStr">
        <is>
          <t>KRONOBERGS LÄN</t>
        </is>
      </c>
      <c r="G446" t="inlineStr">
        <is>
          <t>ALVESTA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45680</v>
      </c>
      <c r="E447" s="1" t="n">
        <v>46291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46291</v>
      </c>
      <c r="F448" t="inlineStr">
        <is>
          <t>KRONOBERGS LÄN</t>
        </is>
      </c>
      <c r="G448" t="inlineStr">
        <is>
          <t>ALVESTA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46291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27034-2023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45095</v>
      </c>
      <c r="E450" s="1" t="n">
        <v>46291</v>
      </c>
      <c r="F450" t="inlineStr">
        <is>
          <t>KRONOBERGS LÄN</t>
        </is>
      </c>
      <c r="G450" t="inlineStr">
        <is>
          <t>ALVESTA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46291</v>
      </c>
      <c r="F451" t="inlineStr">
        <is>
          <t>KRONOBERGS LÄN</t>
        </is>
      </c>
      <c r="G451" t="inlineStr">
        <is>
          <t>ALVESTA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46291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15262-2024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46291</v>
      </c>
      <c r="F453" t="inlineStr">
        <is>
          <t>KRONOBERGS LÄN</t>
        </is>
      </c>
      <c r="G453" t="inlineStr">
        <is>
          <t>ALVESTA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45653</v>
      </c>
      <c r="E454" s="1" t="n">
        <v>46291</v>
      </c>
      <c r="F454" t="inlineStr">
        <is>
          <t>KRONOBERGS LÄN</t>
        </is>
      </c>
      <c r="G454" t="inlineStr">
        <is>
          <t>ALVESTA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46291</v>
      </c>
      <c r="F455" t="inlineStr">
        <is>
          <t>KRONOBERGS LÄN</t>
        </is>
      </c>
      <c r="G455" t="inlineStr">
        <is>
          <t>ALVESTA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40998-2023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45173</v>
      </c>
      <c r="E456" s="1" t="n">
        <v>46291</v>
      </c>
      <c r="F456" t="inlineStr">
        <is>
          <t>KRONOBERGS LÄN</t>
        </is>
      </c>
      <c r="G456" t="inlineStr">
        <is>
          <t>ALVESTA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37117-2023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45155</v>
      </c>
      <c r="E457" s="1" t="n">
        <v>46291</v>
      </c>
      <c r="F457" t="inlineStr">
        <is>
          <t>KRONOBERGS LÄN</t>
        </is>
      </c>
      <c r="G457" t="inlineStr">
        <is>
          <t>ALVESTA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46291</v>
      </c>
      <c r="F458" t="inlineStr">
        <is>
          <t>KRONOBERGS LÄN</t>
        </is>
      </c>
      <c r="G458" t="inlineStr">
        <is>
          <t>ALVESTA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45398</v>
      </c>
      <c r="E459" s="1" t="n">
        <v>46291</v>
      </c>
      <c r="F459" t="inlineStr">
        <is>
          <t>KRONOBERGS LÄN</t>
        </is>
      </c>
      <c r="G459" t="inlineStr">
        <is>
          <t>ALVESTA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27710-2022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44743</v>
      </c>
      <c r="E460" s="1" t="n">
        <v>46291</v>
      </c>
      <c r="F460" t="inlineStr">
        <is>
          <t>KRONOBERGS LÄN</t>
        </is>
      </c>
      <c r="G460" t="inlineStr">
        <is>
          <t>ALVESTA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27731-2022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46291</v>
      </c>
      <c r="F461" t="inlineStr">
        <is>
          <t>KRONOBERGS LÄN</t>
        </is>
      </c>
      <c r="G461" t="inlineStr">
        <is>
          <t>ALVESTA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46291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36627-2023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45153</v>
      </c>
      <c r="E463" s="1" t="n">
        <v>46291</v>
      </c>
      <c r="F463" t="inlineStr">
        <is>
          <t>KRONOBERGS LÄN</t>
        </is>
      </c>
      <c r="G463" t="inlineStr">
        <is>
          <t>ALVESTA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54015-2023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45231</v>
      </c>
      <c r="E464" s="1" t="n">
        <v>46291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65094-2023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45288</v>
      </c>
      <c r="E465" s="1" t="n">
        <v>46291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46291</v>
      </c>
      <c r="F466" t="inlineStr">
        <is>
          <t>KRONOBERGS LÄN</t>
        </is>
      </c>
      <c r="G466" t="inlineStr">
        <is>
          <t>ALVESTA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45149</v>
      </c>
      <c r="E467" s="1" t="n">
        <v>46291</v>
      </c>
      <c r="F467" t="inlineStr">
        <is>
          <t>KRONOBERGS LÄN</t>
        </is>
      </c>
      <c r="G467" t="inlineStr">
        <is>
          <t>ALVESTA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39258-2023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46291</v>
      </c>
      <c r="F468" t="inlineStr">
        <is>
          <t>KRONOBERGS LÄN</t>
        </is>
      </c>
      <c r="G468" t="inlineStr">
        <is>
          <t>ALVESTA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34126-2023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45135</v>
      </c>
      <c r="E469" s="1" t="n">
        <v>46291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50629-2023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45217</v>
      </c>
      <c r="E470" s="1" t="n">
        <v>46291</v>
      </c>
      <c r="F470" t="inlineStr">
        <is>
          <t>KRONOBERGS LÄN</t>
        </is>
      </c>
      <c r="G470" t="inlineStr">
        <is>
          <t>ALVESTA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45336</v>
      </c>
      <c r="E471" s="1" t="n">
        <v>46291</v>
      </c>
      <c r="F471" t="inlineStr">
        <is>
          <t>KRONOBERGS LÄN</t>
        </is>
      </c>
      <c r="G471" t="inlineStr">
        <is>
          <t>ALVESTA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46291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9673-2024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45362</v>
      </c>
      <c r="E473" s="1" t="n">
        <v>46291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45330</v>
      </c>
      <c r="E474" s="1" t="n">
        <v>46291</v>
      </c>
      <c r="F474" t="inlineStr">
        <is>
          <t>KRONOBERGS LÄN</t>
        </is>
      </c>
      <c r="G474" t="inlineStr">
        <is>
          <t>ALVESTA</t>
        </is>
      </c>
      <c r="H474" t="inlineStr">
        <is>
          <t>Övriga Aktiebolag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44670</v>
      </c>
      <c r="E475" s="1" t="n">
        <v>46291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46272</v>
      </c>
      <c r="E476" s="1" t="n">
        <v>46291</v>
      </c>
      <c r="F476" t="inlineStr">
        <is>
          <t>KRONOBERGS LÄN</t>
        </is>
      </c>
      <c r="G476" t="inlineStr">
        <is>
          <t>ALVESTA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36565-2026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46291</v>
      </c>
      <c r="F477" t="inlineStr">
        <is>
          <t>KRONOBERGS LÄN</t>
        </is>
      </c>
      <c r="G477" t="inlineStr">
        <is>
          <t>ALVESTA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46273</v>
      </c>
      <c r="E478" s="1" t="n">
        <v>46291</v>
      </c>
      <c r="F478" t="inlineStr">
        <is>
          <t>KRONOBERGS LÄN</t>
        </is>
      </c>
      <c r="G478" t="inlineStr">
        <is>
          <t>ALVESTA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45217</v>
      </c>
      <c r="E479" s="1" t="n">
        <v>46291</v>
      </c>
      <c r="F479" t="inlineStr">
        <is>
          <t>KRONOBERGS LÄN</t>
        </is>
      </c>
      <c r="G479" t="inlineStr">
        <is>
          <t>ALVESTA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25261-2024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45462</v>
      </c>
      <c r="E480" s="1" t="n">
        <v>46291</v>
      </c>
      <c r="F480" t="inlineStr">
        <is>
          <t>KRONOBERGS LÄN</t>
        </is>
      </c>
      <c r="G480" t="inlineStr">
        <is>
          <t>ALVESTA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46291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46274</v>
      </c>
      <c r="E482" s="1" t="n">
        <v>46291</v>
      </c>
      <c r="F482" t="inlineStr">
        <is>
          <t>KRONOBERGS LÄN</t>
        </is>
      </c>
      <c r="G482" t="inlineStr">
        <is>
          <t>ALVESTA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36946-2026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46273</v>
      </c>
      <c r="E483" s="1" t="n">
        <v>46291</v>
      </c>
      <c r="F483" t="inlineStr">
        <is>
          <t>KRONOBERGS LÄN</t>
        </is>
      </c>
      <c r="G483" t="inlineStr">
        <is>
          <t>ALVESTA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45264</v>
      </c>
      <c r="E484" s="1" t="n">
        <v>46291</v>
      </c>
      <c r="F484" t="inlineStr">
        <is>
          <t>KRONOBERGS LÄN</t>
        </is>
      </c>
      <c r="G484" t="inlineStr">
        <is>
          <t>ALVESTA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46291</v>
      </c>
      <c r="F485" t="inlineStr">
        <is>
          <t>KRONOBERGS LÄN</t>
        </is>
      </c>
      <c r="G485" t="inlineStr">
        <is>
          <t>ALVESTA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45272</v>
      </c>
      <c r="E486" s="1" t="n">
        <v>46291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46291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14043-2025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45740</v>
      </c>
      <c r="E488" s="1" t="n">
        <v>46291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45136</v>
      </c>
      <c r="E489" s="1" t="n">
        <v>46291</v>
      </c>
      <c r="F489" t="inlineStr">
        <is>
          <t>KRONOBERGS LÄN</t>
        </is>
      </c>
      <c r="G489" t="inlineStr">
        <is>
          <t>ALVESTA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52061-2023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45216</v>
      </c>
      <c r="E490" s="1" t="n">
        <v>46291</v>
      </c>
      <c r="F490" t="inlineStr">
        <is>
          <t>KRONOBERGS LÄN</t>
        </is>
      </c>
      <c r="G490" t="inlineStr">
        <is>
          <t>ALVESTA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57121-2022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46291</v>
      </c>
      <c r="F491" t="inlineStr">
        <is>
          <t>KRONOBERGS LÄN</t>
        </is>
      </c>
      <c r="G491" t="inlineStr">
        <is>
          <t>ALVESTA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46291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46291</v>
      </c>
      <c r="F493" t="inlineStr">
        <is>
          <t>KRONOBERGS LÄN</t>
        </is>
      </c>
      <c r="G493" t="inlineStr">
        <is>
          <t>ALVESTA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46291</v>
      </c>
      <c r="F494" t="inlineStr">
        <is>
          <t>KRONOBERGS LÄN</t>
        </is>
      </c>
      <c r="G494" t="inlineStr">
        <is>
          <t>ALVESTA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46291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42411-2023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45180</v>
      </c>
      <c r="E496" s="1" t="n">
        <v>46291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46281</v>
      </c>
      <c r="E497" s="1" t="n">
        <v>46291</v>
      </c>
      <c r="F497" t="inlineStr">
        <is>
          <t>KRONOBERGS LÄN</t>
        </is>
      </c>
      <c r="G497" t="inlineStr">
        <is>
          <t>ALVESTA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46281</v>
      </c>
      <c r="E498" s="1" t="n">
        <v>46291</v>
      </c>
      <c r="F498" t="inlineStr">
        <is>
          <t>KRONOBERGS LÄN</t>
        </is>
      </c>
      <c r="G498" t="inlineStr">
        <is>
          <t>ALVESTA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46238</v>
      </c>
      <c r="E499" s="1" t="n">
        <v>46291</v>
      </c>
      <c r="F499" t="inlineStr">
        <is>
          <t>KRONOBERGS LÄN</t>
        </is>
      </c>
      <c r="G499" t="inlineStr">
        <is>
          <t>ALVESTA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45302</v>
      </c>
      <c r="E500" s="1" t="n">
        <v>46291</v>
      </c>
      <c r="F500" t="inlineStr">
        <is>
          <t>KRONOBERGS LÄN</t>
        </is>
      </c>
      <c r="G500" t="inlineStr">
        <is>
          <t>ALVESTA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9987-2023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44985</v>
      </c>
      <c r="E501" s="1" t="n">
        <v>46291</v>
      </c>
      <c r="F501" t="inlineStr">
        <is>
          <t>KRONOBERGS LÄN</t>
        </is>
      </c>
      <c r="G501" t="inlineStr">
        <is>
          <t>ALVESTA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45532</v>
      </c>
      <c r="E502" s="1" t="n">
        <v>46291</v>
      </c>
      <c r="F502" t="inlineStr">
        <is>
          <t>KRONOBERGS LÄN</t>
        </is>
      </c>
      <c r="G502" t="inlineStr">
        <is>
          <t>ALVESTA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38917-2026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46291</v>
      </c>
      <c r="F503" t="inlineStr">
        <is>
          <t>KRONOBERGS LÄN</t>
        </is>
      </c>
      <c r="G503" t="inlineStr">
        <is>
          <t>ALVESTA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46286</v>
      </c>
      <c r="E504" s="1" t="n">
        <v>46291</v>
      </c>
      <c r="F504" t="inlineStr">
        <is>
          <t>KRONOBERGS LÄN</t>
        </is>
      </c>
      <c r="G504" t="inlineStr">
        <is>
          <t>ALVESTA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46291</v>
      </c>
      <c r="F505" t="inlineStr">
        <is>
          <t>KRONOBERGS LÄN</t>
        </is>
      </c>
      <c r="G505" t="inlineStr">
        <is>
          <t>ALVESTA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45324</v>
      </c>
      <c r="E506" s="1" t="n">
        <v>46291</v>
      </c>
      <c r="F506" t="inlineStr">
        <is>
          <t>KRONOBERGS LÄN</t>
        </is>
      </c>
      <c r="G506" t="inlineStr">
        <is>
          <t>ALVESTA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46241</v>
      </c>
      <c r="E507" s="1" t="n">
        <v>46291</v>
      </c>
      <c r="F507" t="inlineStr">
        <is>
          <t>KRONOBERGS LÄN</t>
        </is>
      </c>
      <c r="G507" t="inlineStr">
        <is>
          <t>ALVESTA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46241</v>
      </c>
      <c r="E508" s="1" t="n">
        <v>46291</v>
      </c>
      <c r="F508" t="inlineStr">
        <is>
          <t>KRONOBERGS LÄN</t>
        </is>
      </c>
      <c r="G508" t="inlineStr">
        <is>
          <t>ALVESTA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11912-2022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44635</v>
      </c>
      <c r="E509" s="1" t="n">
        <v>46291</v>
      </c>
      <c r="F509" t="inlineStr">
        <is>
          <t>KRONOBERGS LÄN</t>
        </is>
      </c>
      <c r="G509" t="inlineStr">
        <is>
          <t>ALVESTA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46286</v>
      </c>
      <c r="E510" s="1" t="n">
        <v>46291</v>
      </c>
      <c r="F510" t="inlineStr">
        <is>
          <t>KRONOBERGS LÄN</t>
        </is>
      </c>
      <c r="G510" t="inlineStr">
        <is>
          <t>ALVESTA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46241</v>
      </c>
      <c r="E511" s="1" t="n">
        <v>46291</v>
      </c>
      <c r="F511" t="inlineStr">
        <is>
          <t>KRONOBERGS LÄN</t>
        </is>
      </c>
      <c r="G511" t="inlineStr">
        <is>
          <t>ALVESTA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32792-2026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46241</v>
      </c>
      <c r="E512" s="1" t="n">
        <v>46291</v>
      </c>
      <c r="F512" t="inlineStr">
        <is>
          <t>KRONOBERGS LÄN</t>
        </is>
      </c>
      <c r="G512" t="inlineStr">
        <is>
          <t>ALVESTA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46291</v>
      </c>
      <c r="F513" t="inlineStr">
        <is>
          <t>KRONOBERGS LÄN</t>
        </is>
      </c>
      <c r="G513" t="inlineStr">
        <is>
          <t>ALVESTA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32798-2026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46241</v>
      </c>
      <c r="E514" s="1" t="n">
        <v>46291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46291</v>
      </c>
      <c r="F515" t="inlineStr">
        <is>
          <t>KRONOBERGS LÄN</t>
        </is>
      </c>
      <c r="G515" t="inlineStr">
        <is>
          <t>ALVESTA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46291</v>
      </c>
      <c r="F516" t="inlineStr">
        <is>
          <t>KRONOBERGS LÄN</t>
        </is>
      </c>
      <c r="G516" t="inlineStr">
        <is>
          <t>ALVESTA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10858-2023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46291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44935</v>
      </c>
      <c r="E518" s="1" t="n">
        <v>46291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39405-2026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46291</v>
      </c>
      <c r="F519" t="inlineStr">
        <is>
          <t>KRONOBERGS LÄN</t>
        </is>
      </c>
      <c r="G519" t="inlineStr">
        <is>
          <t>ALVESTA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45336</v>
      </c>
      <c r="E520" s="1" t="n">
        <v>46291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46291</v>
      </c>
      <c r="F521" t="inlineStr">
        <is>
          <t>KRONOBERGS LÄN</t>
        </is>
      </c>
      <c r="G521" t="inlineStr">
        <is>
          <t>ALVESTA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46244</v>
      </c>
      <c r="E522" s="1" t="n">
        <v>46291</v>
      </c>
      <c r="F522" t="inlineStr">
        <is>
          <t>KRONOBERGS LÄN</t>
        </is>
      </c>
      <c r="G522" t="inlineStr">
        <is>
          <t>ALVESTA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46288</v>
      </c>
      <c r="E523" s="1" t="n">
        <v>46291</v>
      </c>
      <c r="F523" t="inlineStr">
        <is>
          <t>KRONOBERGS LÄN</t>
        </is>
      </c>
      <c r="G523" t="inlineStr">
        <is>
          <t>ALVESTA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39033-2026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46291</v>
      </c>
      <c r="F524" t="inlineStr">
        <is>
          <t>KRONOBERGS LÄN</t>
        </is>
      </c>
      <c r="G524" t="inlineStr">
        <is>
          <t>ALVESTA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32952-2026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46291</v>
      </c>
      <c r="F525" t="inlineStr">
        <is>
          <t>KRONOBERGS LÄN</t>
        </is>
      </c>
      <c r="G525" t="inlineStr">
        <is>
          <t>ALVESTA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44601</v>
      </c>
      <c r="E526" s="1" t="n">
        <v>46291</v>
      </c>
      <c r="F526" t="inlineStr">
        <is>
          <t>KRONOBERGS LÄN</t>
        </is>
      </c>
      <c r="G526" t="inlineStr">
        <is>
          <t>ALVESTA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18845-2024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46291</v>
      </c>
      <c r="F527" t="inlineStr">
        <is>
          <t>KRONOBERGS LÄN</t>
        </is>
      </c>
      <c r="G527" t="inlineStr">
        <is>
          <t>ALVESTA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45040</v>
      </c>
      <c r="E528" s="1" t="n">
        <v>46291</v>
      </c>
      <c r="F528" t="inlineStr">
        <is>
          <t>KRONOBERGS LÄN</t>
        </is>
      </c>
      <c r="G528" t="inlineStr">
        <is>
          <t>ALVESTA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72318-2021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44545</v>
      </c>
      <c r="E529" s="1" t="n">
        <v>46291</v>
      </c>
      <c r="F529" t="inlineStr">
        <is>
          <t>KRONOBERGS LÄN</t>
        </is>
      </c>
      <c r="G529" t="inlineStr">
        <is>
          <t>ALVESTA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44938</v>
      </c>
      <c r="E530" s="1" t="n">
        <v>46291</v>
      </c>
      <c r="F530" t="inlineStr">
        <is>
          <t>KRONOBERGS LÄN</t>
        </is>
      </c>
      <c r="G530" t="inlineStr">
        <is>
          <t>ALVESTA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44948</v>
      </c>
      <c r="E531" s="1" t="n">
        <v>46291</v>
      </c>
      <c r="F531" t="inlineStr">
        <is>
          <t>KRONOBERGS LÄN</t>
        </is>
      </c>
      <c r="G531" t="inlineStr">
        <is>
          <t>ALVESTA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58268-2022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44901</v>
      </c>
      <c r="E532" s="1" t="n">
        <v>46291</v>
      </c>
      <c r="F532" t="inlineStr">
        <is>
          <t>KRONOBERGS LÄN</t>
        </is>
      </c>
      <c r="G532" t="inlineStr">
        <is>
          <t>ALVESTA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14969-2022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44657</v>
      </c>
      <c r="E533" s="1" t="n">
        <v>46291</v>
      </c>
      <c r="F533" t="inlineStr">
        <is>
          <t>KRONOBERGS LÄN</t>
        </is>
      </c>
      <c r="G533" t="inlineStr">
        <is>
          <t>ALVESTA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45385</v>
      </c>
      <c r="E534" s="1" t="n">
        <v>46291</v>
      </c>
      <c r="F534" t="inlineStr">
        <is>
          <t>KRONOBERGS LÄN</t>
        </is>
      </c>
      <c r="G534" t="inlineStr">
        <is>
          <t>ALVESTA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39701-2026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46290</v>
      </c>
      <c r="E535" s="1" t="n">
        <v>46291</v>
      </c>
      <c r="F535" t="inlineStr">
        <is>
          <t>KRONOBERGS LÄN</t>
        </is>
      </c>
      <c r="G535" t="inlineStr">
        <is>
          <t>ALVESTA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33290-2026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46291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8803-2024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46291</v>
      </c>
      <c r="F537" t="inlineStr">
        <is>
          <t>KRONOBERGS LÄN</t>
        </is>
      </c>
      <c r="G537" t="inlineStr">
        <is>
          <t>ALVESTA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45086</v>
      </c>
      <c r="E538" s="1" t="n">
        <v>46291</v>
      </c>
      <c r="F538" t="inlineStr">
        <is>
          <t>KRONOBERGS LÄN</t>
        </is>
      </c>
      <c r="G538" t="inlineStr">
        <is>
          <t>ALVESTA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46291</v>
      </c>
      <c r="F539" t="inlineStr">
        <is>
          <t>KRONOBERGS LÄN</t>
        </is>
      </c>
      <c r="G539" t="inlineStr">
        <is>
          <t>ALVESTA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44943</v>
      </c>
      <c r="E540" s="1" t="n">
        <v>46291</v>
      </c>
      <c r="F540" t="inlineStr">
        <is>
          <t>KRONOBERGS LÄN</t>
        </is>
      </c>
      <c r="G540" t="inlineStr">
        <is>
          <t>ALVESTA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57118-2023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45245</v>
      </c>
      <c r="E541" s="1" t="n">
        <v>46291</v>
      </c>
      <c r="F541" t="inlineStr">
        <is>
          <t>KRONOBERGS LÄN</t>
        </is>
      </c>
      <c r="G541" t="inlineStr">
        <is>
          <t>ALVESTA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1060-2023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44935</v>
      </c>
      <c r="E542" s="1" t="n">
        <v>46291</v>
      </c>
      <c r="F542" t="inlineStr">
        <is>
          <t>KRONOBERGS LÄN</t>
        </is>
      </c>
      <c r="G542" t="inlineStr">
        <is>
          <t>ALVESTA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56552-2021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44480</v>
      </c>
      <c r="E543" s="1" t="n">
        <v>46291</v>
      </c>
      <c r="F543" t="inlineStr">
        <is>
          <t>KRONOBERGS LÄN</t>
        </is>
      </c>
      <c r="G543" t="inlineStr">
        <is>
          <t>ALVESTA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37113-2023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45155</v>
      </c>
      <c r="E544" s="1" t="n">
        <v>46291</v>
      </c>
      <c r="F544" t="inlineStr">
        <is>
          <t>KRONOBERGS LÄN</t>
        </is>
      </c>
      <c r="G544" t="inlineStr">
        <is>
          <t>ALVESTA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60760-2022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44914</v>
      </c>
      <c r="E545" s="1" t="n">
        <v>46291</v>
      </c>
      <c r="F545" t="inlineStr">
        <is>
          <t>KRONOBERGS LÄN</t>
        </is>
      </c>
      <c r="G545" t="inlineStr">
        <is>
          <t>ALVESTA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3118-2025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45678</v>
      </c>
      <c r="E546" s="1" t="n">
        <v>46291</v>
      </c>
      <c r="F546" t="inlineStr">
        <is>
          <t>KRONOBERGS LÄN</t>
        </is>
      </c>
      <c r="G546" t="inlineStr">
        <is>
          <t>ALVESTA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49602-2024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46291</v>
      </c>
      <c r="F547" t="inlineStr">
        <is>
          <t>KRONOBERGS LÄN</t>
        </is>
      </c>
      <c r="G547" t="inlineStr">
        <is>
          <t>ALVESTA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13369-2023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45005</v>
      </c>
      <c r="E548" s="1" t="n">
        <v>46291</v>
      </c>
      <c r="F548" t="inlineStr">
        <is>
          <t>KRONOBERGS LÄN</t>
        </is>
      </c>
      <c r="G548" t="inlineStr">
        <is>
          <t>ALVESTA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46234-2023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45196</v>
      </c>
      <c r="E549" s="1" t="n">
        <v>46291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44687</v>
      </c>
      <c r="E550" s="1" t="n">
        <v>46291</v>
      </c>
      <c r="F550" t="inlineStr">
        <is>
          <t>KRONOBERGS LÄN</t>
        </is>
      </c>
      <c r="G550" t="inlineStr">
        <is>
          <t>ALVESTA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35529-2023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45146</v>
      </c>
      <c r="E551" s="1" t="n">
        <v>46291</v>
      </c>
      <c r="F551" t="inlineStr">
        <is>
          <t>KRONOBERGS LÄN</t>
        </is>
      </c>
      <c r="G551" t="inlineStr">
        <is>
          <t>ALVESTA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44978</v>
      </c>
      <c r="E552" s="1" t="n">
        <v>46291</v>
      </c>
      <c r="F552" t="inlineStr">
        <is>
          <t>KRONOBERGS LÄN</t>
        </is>
      </c>
      <c r="G552" t="inlineStr">
        <is>
          <t>ALVESTA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65092-2023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45288</v>
      </c>
      <c r="E553" s="1" t="n">
        <v>46291</v>
      </c>
      <c r="F553" t="inlineStr">
        <is>
          <t>KRONOBERGS LÄN</t>
        </is>
      </c>
      <c r="G553" t="inlineStr">
        <is>
          <t>ALVESTA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28529-2024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45478</v>
      </c>
      <c r="E554" s="1" t="n">
        <v>46291</v>
      </c>
      <c r="F554" t="inlineStr">
        <is>
          <t>KRONOBERGS LÄN</t>
        </is>
      </c>
      <c r="G554" t="inlineStr">
        <is>
          <t>ALVESTA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44995</v>
      </c>
      <c r="E555" s="1" t="n">
        <v>46291</v>
      </c>
      <c r="F555" t="inlineStr">
        <is>
          <t>KRONOBERGS LÄN</t>
        </is>
      </c>
      <c r="G555" t="inlineStr">
        <is>
          <t>ALVESTA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16301-2024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45407</v>
      </c>
      <c r="E556" s="1" t="n">
        <v>46291</v>
      </c>
      <c r="F556" t="inlineStr">
        <is>
          <t>KRONOBERGS LÄN</t>
        </is>
      </c>
      <c r="G556" t="inlineStr">
        <is>
          <t>ALVESTA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45673</v>
      </c>
      <c r="E557" s="1" t="n">
        <v>46291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7887-2025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46291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29579-2022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44754</v>
      </c>
      <c r="E559" s="1" t="n">
        <v>46291</v>
      </c>
      <c r="F559" t="inlineStr">
        <is>
          <t>KRONOBERGS LÄN</t>
        </is>
      </c>
      <c r="G559" t="inlineStr">
        <is>
          <t>ALVESTA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49078-2023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45210</v>
      </c>
      <c r="E560" s="1" t="n">
        <v>46291</v>
      </c>
      <c r="F560" t="inlineStr">
        <is>
          <t>KRONOBERGS LÄN</t>
        </is>
      </c>
      <c r="G560" t="inlineStr">
        <is>
          <t>ALVESTA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34272-2023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45128</v>
      </c>
      <c r="E561" s="1" t="n">
        <v>46291</v>
      </c>
      <c r="F561" t="inlineStr">
        <is>
          <t>KRONOBERGS LÄN</t>
        </is>
      </c>
      <c r="G561" t="inlineStr">
        <is>
          <t>ALVESTA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5298-2025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45692</v>
      </c>
      <c r="E562" s="1" t="n">
        <v>46291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45159</v>
      </c>
      <c r="E563" s="1" t="n">
        <v>46291</v>
      </c>
      <c r="F563" t="inlineStr">
        <is>
          <t>KRONOBERGS LÄN</t>
        </is>
      </c>
      <c r="G563" t="inlineStr">
        <is>
          <t>ALVESTA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40366-2023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46291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44998</v>
      </c>
      <c r="E565" s="1" t="n">
        <v>46291</v>
      </c>
      <c r="F565" t="inlineStr">
        <is>
          <t>KRONOBERGS LÄN</t>
        </is>
      </c>
      <c r="G565" t="inlineStr">
        <is>
          <t>ALVESTA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45089</v>
      </c>
      <c r="E566" s="1" t="n">
        <v>46291</v>
      </c>
      <c r="F566" t="inlineStr">
        <is>
          <t>KRONOBERGS LÄN</t>
        </is>
      </c>
      <c r="G566" t="inlineStr">
        <is>
          <t>ALVESTA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45708</v>
      </c>
      <c r="E567" s="1" t="n">
        <v>46291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59621-2023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45254</v>
      </c>
      <c r="E568" s="1" t="n">
        <v>46291</v>
      </c>
      <c r="F568" t="inlineStr">
        <is>
          <t>KRONOBERGS LÄN</t>
        </is>
      </c>
      <c r="G568" t="inlineStr">
        <is>
          <t>ALVESTA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45336</v>
      </c>
      <c r="E569" s="1" t="n">
        <v>46291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46291</v>
      </c>
      <c r="F570" t="inlineStr">
        <is>
          <t>KRONOBERGS LÄN</t>
        </is>
      </c>
      <c r="G570" t="inlineStr">
        <is>
          <t>ALVESTA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20180-2023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45055</v>
      </c>
      <c r="E571" s="1" t="n">
        <v>46291</v>
      </c>
      <c r="F571" t="inlineStr">
        <is>
          <t>KRONOBERGS LÄN</t>
        </is>
      </c>
      <c r="G571" t="inlineStr">
        <is>
          <t>ALVESTA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29097-2023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45105</v>
      </c>
      <c r="E572" s="1" t="n">
        <v>46291</v>
      </c>
      <c r="F572" t="inlineStr">
        <is>
          <t>KRONOBERGS LÄN</t>
        </is>
      </c>
      <c r="G572" t="inlineStr">
        <is>
          <t>ALVESTA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45635</v>
      </c>
      <c r="E573" s="1" t="n">
        <v>46291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45032</v>
      </c>
      <c r="E574" s="1" t="n">
        <v>46291</v>
      </c>
      <c r="F574" t="inlineStr">
        <is>
          <t>KRONOBERGS LÄN</t>
        </is>
      </c>
      <c r="G574" t="inlineStr">
        <is>
          <t>ALVESTA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49600-2024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46291</v>
      </c>
      <c r="F575" t="inlineStr">
        <is>
          <t>KRONOBERGS LÄN</t>
        </is>
      </c>
      <c r="G575" t="inlineStr">
        <is>
          <t>ALVESTA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31855-2023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45106</v>
      </c>
      <c r="E576" s="1" t="n">
        <v>46291</v>
      </c>
      <c r="F576" t="inlineStr">
        <is>
          <t>KRONOBERGS LÄN</t>
        </is>
      </c>
      <c r="G576" t="inlineStr">
        <is>
          <t>ALVESTA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9822-2022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44620</v>
      </c>
      <c r="E577" s="1" t="n">
        <v>46291</v>
      </c>
      <c r="F577" t="inlineStr">
        <is>
          <t>KRONOBERGS LÄN</t>
        </is>
      </c>
      <c r="G577" t="inlineStr">
        <is>
          <t>ALVESTA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9649-2024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45362</v>
      </c>
      <c r="E578" s="1" t="n">
        <v>46291</v>
      </c>
      <c r="F578" t="inlineStr">
        <is>
          <t>KRONOBERGS LÄN</t>
        </is>
      </c>
      <c r="G578" t="inlineStr">
        <is>
          <t>ALVESTA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60559-2022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44911</v>
      </c>
      <c r="E579" s="1" t="n">
        <v>46291</v>
      </c>
      <c r="F579" t="inlineStr">
        <is>
          <t>KRONOBERGS LÄN</t>
        </is>
      </c>
      <c r="G579" t="inlineStr">
        <is>
          <t>ALVESTA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45308</v>
      </c>
      <c r="E580" s="1" t="n">
        <v>46291</v>
      </c>
      <c r="F580" t="inlineStr">
        <is>
          <t>KRONOBERGS LÄN</t>
        </is>
      </c>
      <c r="G580" t="inlineStr">
        <is>
          <t>ALVESTA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45544</v>
      </c>
      <c r="E581" s="1" t="n">
        <v>46291</v>
      </c>
      <c r="F581" t="inlineStr">
        <is>
          <t>KRONOBERGS LÄN</t>
        </is>
      </c>
      <c r="G581" t="inlineStr">
        <is>
          <t>ALVESTA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44978</v>
      </c>
      <c r="E582" s="1" t="n">
        <v>46291</v>
      </c>
      <c r="F582" t="inlineStr">
        <is>
          <t>KRONOBERGS LÄN</t>
        </is>
      </c>
      <c r="G582" t="inlineStr">
        <is>
          <t>ALVESTA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44994</v>
      </c>
      <c r="E583" s="1" t="n">
        <v>46291</v>
      </c>
      <c r="F583" t="inlineStr">
        <is>
          <t>KRONOBERGS LÄN</t>
        </is>
      </c>
      <c r="G583" t="inlineStr">
        <is>
          <t>ALVESTA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45267</v>
      </c>
      <c r="E584" s="1" t="n">
        <v>46291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45530</v>
      </c>
      <c r="E585" s="1" t="n">
        <v>46291</v>
      </c>
      <c r="F585" t="inlineStr">
        <is>
          <t>KRONOBERGS LÄN</t>
        </is>
      </c>
      <c r="G585" t="inlineStr">
        <is>
          <t>ALVESTA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12260-2023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46291</v>
      </c>
      <c r="F586" t="inlineStr">
        <is>
          <t>KRONOBERGS LÄN</t>
        </is>
      </c>
      <c r="G586" t="inlineStr">
        <is>
          <t>ALVESTA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61282-2023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46291</v>
      </c>
      <c r="F587" t="inlineStr">
        <is>
          <t>KRONOBERGS LÄN</t>
        </is>
      </c>
      <c r="G587" t="inlineStr">
        <is>
          <t>ALVESTA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9244-2024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45358</v>
      </c>
      <c r="E588" s="1" t="n">
        <v>46291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44958</v>
      </c>
      <c r="E589" s="1" t="n">
        <v>46291</v>
      </c>
      <c r="F589" t="inlineStr">
        <is>
          <t>KRONOBERGS LÄN</t>
        </is>
      </c>
      <c r="G589" t="inlineStr">
        <is>
          <t>ALVESTA</t>
        </is>
      </c>
      <c r="H589" t="inlineStr">
        <is>
          <t>Kommuner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18680-2023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45043</v>
      </c>
      <c r="E590" s="1" t="n">
        <v>46291</v>
      </c>
      <c r="F590" t="inlineStr">
        <is>
          <t>KRONOBERGS LÄN</t>
        </is>
      </c>
      <c r="G590" t="inlineStr">
        <is>
          <t>ALVESTA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38385-2022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44812</v>
      </c>
      <c r="E591" s="1" t="n">
        <v>46291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45418</v>
      </c>
      <c r="E592" s="1" t="n">
        <v>46291</v>
      </c>
      <c r="F592" t="inlineStr">
        <is>
          <t>KRONOBERGS LÄN</t>
        </is>
      </c>
      <c r="G592" t="inlineStr">
        <is>
          <t>ALVESTA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39501-2024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46291</v>
      </c>
      <c r="F593" t="inlineStr">
        <is>
          <t>KRONOBERGS LÄN</t>
        </is>
      </c>
      <c r="G593" t="inlineStr">
        <is>
          <t>ALVESTA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46291</v>
      </c>
      <c r="F594" t="inlineStr">
        <is>
          <t>KRONOBERGS LÄN</t>
        </is>
      </c>
      <c r="G594" t="inlineStr">
        <is>
          <t>ALVESTA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12917-2024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45385</v>
      </c>
      <c r="E595" s="1" t="n">
        <v>46291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46291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46291</v>
      </c>
      <c r="F597" t="inlineStr">
        <is>
          <t>KRONOBERGS LÄN</t>
        </is>
      </c>
      <c r="G597" t="inlineStr">
        <is>
          <t>ALVESTA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45407</v>
      </c>
      <c r="E598" s="1" t="n">
        <v>46291</v>
      </c>
      <c r="F598" t="inlineStr">
        <is>
          <t>KRONOBERGS LÄN</t>
        </is>
      </c>
      <c r="G598" t="inlineStr">
        <is>
          <t>ALVESTA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45418</v>
      </c>
      <c r="E599" s="1" t="n">
        <v>46291</v>
      </c>
      <c r="F599" t="inlineStr">
        <is>
          <t>KRONOBERGS LÄN</t>
        </is>
      </c>
      <c r="G599" t="inlineStr">
        <is>
          <t>ALVESTA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45440</v>
      </c>
      <c r="E600" s="1" t="n">
        <v>46291</v>
      </c>
      <c r="F600" t="inlineStr">
        <is>
          <t>KRONOBERGS LÄN</t>
        </is>
      </c>
      <c r="G600" t="inlineStr">
        <is>
          <t>ALVESTA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23006-2025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45790</v>
      </c>
      <c r="E601" s="1" t="n">
        <v>46291</v>
      </c>
      <c r="F601" t="inlineStr">
        <is>
          <t>KRONOBERGS LÄN</t>
        </is>
      </c>
      <c r="G601" t="inlineStr">
        <is>
          <t>ALVESTA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46291</v>
      </c>
      <c r="F602" t="inlineStr">
        <is>
          <t>KRONOBERGS LÄN</t>
        </is>
      </c>
      <c r="G602" t="inlineStr">
        <is>
          <t>ALVESTA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7464-2025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45705</v>
      </c>
      <c r="E603" s="1" t="n">
        <v>46291</v>
      </c>
      <c r="F603" t="inlineStr">
        <is>
          <t>KRONOBERGS LÄN</t>
        </is>
      </c>
      <c r="G603" t="inlineStr">
        <is>
          <t>ALVESTA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9933-2024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45363</v>
      </c>
      <c r="E604" s="1" t="n">
        <v>46291</v>
      </c>
      <c r="F604" t="inlineStr">
        <is>
          <t>KRONOBERGS LÄN</t>
        </is>
      </c>
      <c r="G604" t="inlineStr">
        <is>
          <t>ALVESTA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46291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46291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46291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46291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46291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46291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46291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46291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46291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46291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46291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46291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46291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46291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46291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46291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46291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46291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46291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46291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46291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46291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46291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46291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46291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46291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46291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46291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46291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46291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2026-09-26T02:03:35Z</dcterms:created>
  <dcterms:modified xmlns:dcterms="http://purl.org/dc/terms/" xmlns:xsi="http://www.w3.org/2001/XMLSchema-instance" xsi:type="dcterms:W3CDTF">2026-09-26T02:03:36Z</dcterms:modified>
</cp:coreProperties>
</file>