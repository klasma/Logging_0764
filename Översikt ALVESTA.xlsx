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46278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46278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46278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46278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46278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46278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46278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46278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46278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46278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46278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46278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46278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46278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46278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46278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46278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37143-2026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46274</v>
      </c>
      <c r="E31" s="1" t="n">
        <v>46278</v>
      </c>
      <c r="F31" t="inlineStr">
        <is>
          <t>KRONOBERGS LÄN</t>
        </is>
      </c>
      <c r="G31" t="inlineStr">
        <is>
          <t>ALVESTA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Vedtrappmossa
Stor revmossa</t>
        </is>
      </c>
      <c r="W31">
        <f>HYPERLINK("https://klasma.github.io/Logging_0764/artfynd/A 37143-2026 artfynd.xlsx", "A 37143-2026")</f>
        <v/>
      </c>
      <c r="X31">
        <f>HYPERLINK("https://klasma.github.io/Logging_0764/kartor/A 37143-2026 karta.png", "A 37143-2026")</f>
        <v/>
      </c>
      <c r="Y31">
        <f>HYPERLINK("https://klasma.github.io/Logging_0764/kartor_geotiff/A 37143-2026 georefererad karta.tif", "A 37143-2026")</f>
        <v/>
      </c>
      <c r="AA31">
        <f>HYPERLINK("https://klasma.github.io/Logging_0764/klagomål/A 37143-2026 FSC-klagomål.docx", "A 37143-2026")</f>
        <v/>
      </c>
      <c r="AB31">
        <f>HYPERLINK("https://klasma.github.io/Logging_0764/klagomålsmail/A 37143-2026 FSC-klagomål mail.docx", "A 37143-2026")</f>
        <v/>
      </c>
      <c r="AC31">
        <f>HYPERLINK("https://klasma.github.io/Logging_0764/tillsyn/A 37143-2026 tillsynsbegäran.docx", "A 37143-2026")</f>
        <v/>
      </c>
      <c r="AD31">
        <f>HYPERLINK("https://klasma.github.io/Logging_0764/tillsynsmail/A 37143-2026 tillsynsbegäran mail.docx", "A 37143-2026")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46278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46278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46278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46278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Brandticka</t>
        </is>
      </c>
      <c r="W35">
        <f>HYPERLINK("https://klasma.github.io/Logging_0764/artfynd/A 12221-2024 artfynd.xlsx", "A 12221-2024")</f>
        <v/>
      </c>
      <c r="X35">
        <f>HYPERLINK("https://klasma.github.io/Logging_0764/kartor/A 12221-2024 karta.png", "A 12221-2024")</f>
        <v/>
      </c>
      <c r="Y35">
        <f>HYPERLINK("https://klasma.github.io/Logging_0764/kartor_geotiff/A 12221-2024 georefererad karta.tif", "A 12221-2024")</f>
        <v/>
      </c>
      <c r="AA35">
        <f>HYPERLINK("https://klasma.github.io/Logging_0764/klagomål/A 12221-2024 FSC-klagomål.docx", "A 12221-2024")</f>
        <v/>
      </c>
      <c r="AB35">
        <f>HYPERLINK("https://klasma.github.io/Logging_0764/klagomålsmail/A 12221-2024 FSC-klagomål mail.docx", "A 12221-2024")</f>
        <v/>
      </c>
      <c r="AC35">
        <f>HYPERLINK("https://klasma.github.io/Logging_0764/tillsyn/A 12221-2024 tillsynsbegäran.docx", "A 12221-2024")</f>
        <v/>
      </c>
      <c r="AD35">
        <f>HYPERLINK("https://klasma.github.io/Logging_0764/tillsynsmail/A 12221-2024 tillsynsbegäran mail.docx", "A 12221-2024")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46278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46278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60729-2025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45996</v>
      </c>
      <c r="E38" s="1" t="n">
        <v>46278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HYPERLINK("https://klasma.github.io/Logging_0764/artfynd/A 60729-2025 artfynd.xlsx", "A 60729-2025")</f>
        <v/>
      </c>
      <c r="X38">
        <f>HYPERLINK("https://klasma.github.io/Logging_0764/kartor/A 60729-2025 karta.png", "A 60729-2025")</f>
        <v/>
      </c>
      <c r="Y38">
        <f>HYPERLINK("https://klasma.github.io/Logging_0764/kartor_geotiff/A 60729-2025 georefererad karta.tif", "A 60729-2025")</f>
        <v/>
      </c>
      <c r="AA38">
        <f>HYPERLINK("https://klasma.github.io/Logging_0764/klagomål/A 60729-2025 FSC-klagomål.docx", "A 60729-2025")</f>
        <v/>
      </c>
      <c r="AB38">
        <f>HYPERLINK("https://klasma.github.io/Logging_0764/klagomålsmail/A 60729-2025 FSC-klagomål mail.docx", "A 60729-2025")</f>
        <v/>
      </c>
      <c r="AC38">
        <f>HYPERLINK("https://klasma.github.io/Logging_0764/tillsyn/A 60729-2025 tillsynsbegäran.docx", "A 60729-2025")</f>
        <v/>
      </c>
      <c r="AD38">
        <f>HYPERLINK("https://klasma.github.io/Logging_0764/tillsynsmail/A 60729-2025 tillsynsbegäran mail.docx", "A 60729-2025")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46278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46278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46278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32786-2026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46241</v>
      </c>
      <c r="E42" s="1" t="n">
        <v>46278</v>
      </c>
      <c r="F42" t="inlineStr">
        <is>
          <t>KRONOBERGS LÄN</t>
        </is>
      </c>
      <c r="G42" t="inlineStr">
        <is>
          <t>ALVESTA</t>
        </is>
      </c>
      <c r="I42" t="n">
        <v>13.9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Bohuslind</t>
        </is>
      </c>
      <c r="W42">
        <f>HYPERLINK("https://klasma.github.io/Logging_0764/artfynd/A 32786-2026 artfynd.xlsx", "A 32786-2026")</f>
        <v/>
      </c>
      <c r="X42">
        <f>HYPERLINK("https://klasma.github.io/Logging_0764/kartor/A 32786-2026 karta.png", "A 32786-2026")</f>
        <v/>
      </c>
      <c r="Y42">
        <f>HYPERLINK("https://klasma.github.io/Logging_0764/kartor_geotiff/A 32786-2026 georefererad karta.tif", "A 32786-2026")</f>
        <v/>
      </c>
      <c r="AA42">
        <f>HYPERLINK("https://klasma.github.io/Logging_0764/klagomål/A 32786-2026 FSC-klagomål.docx", "A 32786-2026")</f>
        <v/>
      </c>
      <c r="AB42">
        <f>HYPERLINK("https://klasma.github.io/Logging_0764/klagomålsmail/A 32786-2026 FSC-klagomål mail.docx", "A 32786-2026")</f>
        <v/>
      </c>
      <c r="AC42">
        <f>HYPERLINK("https://klasma.github.io/Logging_0764/tillsyn/A 32786-2026 tillsynsbegäran.docx", "A 32786-2026")</f>
        <v/>
      </c>
      <c r="AD42">
        <f>HYPERLINK("https://klasma.github.io/Logging_0764/tillsynsmail/A 32786-2026 tillsynsbegäran mail.docx", "A 32786-2026")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46278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46278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46278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46278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46278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46278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46278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46278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46278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46278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46278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46278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46278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46278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46278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46278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46278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46278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46278</v>
      </c>
      <c r="F61" t="inlineStr">
        <is>
          <t>KRONOBERGS LÄN</t>
        </is>
      </c>
      <c r="G61" t="inlineStr">
        <is>
          <t>ALVESTA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46278</v>
      </c>
      <c r="F62" t="inlineStr">
        <is>
          <t>KRONOBERGS LÄN</t>
        </is>
      </c>
      <c r="G62" t="inlineStr">
        <is>
          <t>ALVESTA</t>
        </is>
      </c>
      <c r="H62" t="inlineStr">
        <is>
          <t>Kyrkan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44597</v>
      </c>
      <c r="E63" s="1" t="n">
        <v>46278</v>
      </c>
      <c r="F63" t="inlineStr">
        <is>
          <t>KRONOBERGS LÄN</t>
        </is>
      </c>
      <c r="G63" t="inlineStr">
        <is>
          <t>ALVESTA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46278</v>
      </c>
      <c r="F64" t="inlineStr">
        <is>
          <t>KRONOBERGS LÄN</t>
        </is>
      </c>
      <c r="G64" t="inlineStr">
        <is>
          <t>ALVESTA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46278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46278</v>
      </c>
      <c r="F66" t="inlineStr">
        <is>
          <t>KRONOBERGS LÄN</t>
        </is>
      </c>
      <c r="G66" t="inlineStr">
        <is>
          <t>ALVESTA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46278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46278</v>
      </c>
      <c r="F68" t="inlineStr">
        <is>
          <t>KRONOBERGS LÄN</t>
        </is>
      </c>
      <c r="G68" t="inlineStr">
        <is>
          <t>ALVESTA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46278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46278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46278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46278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46278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46278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46278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46278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46278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46278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46278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46278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46278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46278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46278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46278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46278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46278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46278</v>
      </c>
      <c r="F87" t="inlineStr">
        <is>
          <t>KRONOBERGS LÄN</t>
        </is>
      </c>
      <c r="G87" t="inlineStr">
        <is>
          <t>ALVESTA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46278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46278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46278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46278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46278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46278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46278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46278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46278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46278</v>
      </c>
      <c r="F97" t="inlineStr">
        <is>
          <t>KRONOBERGS LÄN</t>
        </is>
      </c>
      <c r="G97" t="inlineStr">
        <is>
          <t>ALVESTA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46278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46278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46278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70869-2021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44538</v>
      </c>
      <c r="E101" s="1" t="n">
        <v>46278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46278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46278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46278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46278</v>
      </c>
      <c r="F105" t="inlineStr">
        <is>
          <t>KRONOBERGS LÄN</t>
        </is>
      </c>
      <c r="G105" t="inlineStr">
        <is>
          <t>ALVESTA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44462</v>
      </c>
      <c r="E106" s="1" t="n">
        <v>46278</v>
      </c>
      <c r="F106" t="inlineStr">
        <is>
          <t>KRONOBERGS LÄN</t>
        </is>
      </c>
      <c r="G106" t="inlineStr">
        <is>
          <t>ALVESTA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46278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46278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46278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46278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46278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46278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46278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46278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45329</v>
      </c>
      <c r="E115" s="1" t="n">
        <v>46278</v>
      </c>
      <c r="F115" t="inlineStr">
        <is>
          <t>KRONOBERGS LÄN</t>
        </is>
      </c>
      <c r="G115" t="inlineStr">
        <is>
          <t>ALVESTA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46278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46278</v>
      </c>
      <c r="F117" t="inlineStr">
        <is>
          <t>KRONOBERGS LÄN</t>
        </is>
      </c>
      <c r="G117" t="inlineStr">
        <is>
          <t>ALVESTA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46278</v>
      </c>
      <c r="F118" t="inlineStr">
        <is>
          <t>KRONOBERGS LÄN</t>
        </is>
      </c>
      <c r="G118" t="inlineStr">
        <is>
          <t>ALVESTA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44783</v>
      </c>
      <c r="E119" s="1" t="n">
        <v>46278</v>
      </c>
      <c r="F119" t="inlineStr">
        <is>
          <t>KRONOBERGS LÄN</t>
        </is>
      </c>
      <c r="G119" t="inlineStr">
        <is>
          <t>ALVESTA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46278</v>
      </c>
      <c r="F120" t="inlineStr">
        <is>
          <t>KRONOBERGS LÄN</t>
        </is>
      </c>
      <c r="G120" t="inlineStr">
        <is>
          <t>ALVESTA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46278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46278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45698</v>
      </c>
      <c r="E123" s="1" t="n">
        <v>46278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45136</v>
      </c>
      <c r="E124" s="1" t="n">
        <v>46278</v>
      </c>
      <c r="F124" t="inlineStr">
        <is>
          <t>KRONOBERGS LÄN</t>
        </is>
      </c>
      <c r="G124" t="inlineStr">
        <is>
          <t>ALVESTA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34261-2023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45128</v>
      </c>
      <c r="E125" s="1" t="n">
        <v>46278</v>
      </c>
      <c r="F125" t="inlineStr">
        <is>
          <t>KRONOBERGS LÄN</t>
        </is>
      </c>
      <c r="G125" t="inlineStr">
        <is>
          <t>ALVESTA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46278</v>
      </c>
      <c r="F126" t="inlineStr">
        <is>
          <t>KRONOBERGS LÄN</t>
        </is>
      </c>
      <c r="G126" t="inlineStr">
        <is>
          <t>ALVESTA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45236</v>
      </c>
      <c r="E127" s="1" t="n">
        <v>46278</v>
      </c>
      <c r="F127" t="inlineStr">
        <is>
          <t>KRONOBERGS LÄN</t>
        </is>
      </c>
      <c r="G127" t="inlineStr">
        <is>
          <t>ALVESTA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46278</v>
      </c>
      <c r="F128" t="inlineStr">
        <is>
          <t>KRONOBERGS LÄN</t>
        </is>
      </c>
      <c r="G128" t="inlineStr">
        <is>
          <t>ALVESTA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60478-2023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45259</v>
      </c>
      <c r="E129" s="1" t="n">
        <v>46278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45105</v>
      </c>
      <c r="E130" s="1" t="n">
        <v>46278</v>
      </c>
      <c r="F130" t="inlineStr">
        <is>
          <t>KRONOBERGS LÄN</t>
        </is>
      </c>
      <c r="G130" t="inlineStr">
        <is>
          <t>ALVESTA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46278</v>
      </c>
      <c r="F131" t="inlineStr">
        <is>
          <t>KRONOBERGS LÄN</t>
        </is>
      </c>
      <c r="G131" t="inlineStr">
        <is>
          <t>ALVESTA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46278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46278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46278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46278</v>
      </c>
      <c r="F135" t="inlineStr">
        <is>
          <t>KRONOBERGS LÄN</t>
        </is>
      </c>
      <c r="G135" t="inlineStr">
        <is>
          <t>ALVESTA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44093-2022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46278</v>
      </c>
      <c r="F136" t="inlineStr">
        <is>
          <t>KRONOBERGS LÄN</t>
        </is>
      </c>
      <c r="G136" t="inlineStr">
        <is>
          <t>ALVESTA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46278</v>
      </c>
      <c r="F137" t="inlineStr">
        <is>
          <t>KRONOBERGS LÄN</t>
        </is>
      </c>
      <c r="G137" t="inlineStr">
        <is>
          <t>ALVESTA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44881</v>
      </c>
      <c r="E138" s="1" t="n">
        <v>46278</v>
      </c>
      <c r="F138" t="inlineStr">
        <is>
          <t>KRONOBERGS LÄN</t>
        </is>
      </c>
      <c r="G138" t="inlineStr">
        <is>
          <t>ALVESTA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46278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46278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45342</v>
      </c>
      <c r="E141" s="1" t="n">
        <v>46278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46278</v>
      </c>
      <c r="F142" t="inlineStr">
        <is>
          <t>KRONOBERGS LÄN</t>
        </is>
      </c>
      <c r="G142" t="inlineStr">
        <is>
          <t>ALVESTA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46278</v>
      </c>
      <c r="F143" t="inlineStr">
        <is>
          <t>KRONOBERGS LÄN</t>
        </is>
      </c>
      <c r="G143" t="inlineStr">
        <is>
          <t>ALVESTA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46278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45305</v>
      </c>
      <c r="E145" s="1" t="n">
        <v>46278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46278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46278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46278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46278</v>
      </c>
      <c r="F149" t="inlineStr">
        <is>
          <t>KRONOBERGS LÄN</t>
        </is>
      </c>
      <c r="G149" t="inlineStr">
        <is>
          <t>ALVESTA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44818-2024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45574</v>
      </c>
      <c r="E150" s="1" t="n">
        <v>46278</v>
      </c>
      <c r="F150" t="inlineStr">
        <is>
          <t>KRONOBERGS LÄN</t>
        </is>
      </c>
      <c r="G150" t="inlineStr">
        <is>
          <t>ALVESTA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45436</v>
      </c>
      <c r="E151" s="1" t="n">
        <v>46278</v>
      </c>
      <c r="F151" t="inlineStr">
        <is>
          <t>KRONOBERGS LÄN</t>
        </is>
      </c>
      <c r="G151" t="inlineStr">
        <is>
          <t>ALVESTA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45460</v>
      </c>
      <c r="E152" s="1" t="n">
        <v>46278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9687-2024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45362</v>
      </c>
      <c r="E153" s="1" t="n">
        <v>46278</v>
      </c>
      <c r="F153" t="inlineStr">
        <is>
          <t>KRONOBERGS LÄN</t>
        </is>
      </c>
      <c r="G153" t="inlineStr">
        <is>
          <t>ALVESTA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46278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46278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46278</v>
      </c>
      <c r="F156" t="inlineStr">
        <is>
          <t>KRONOBERGS LÄN</t>
        </is>
      </c>
      <c r="G156" t="inlineStr">
        <is>
          <t>ALVESTA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46278</v>
      </c>
      <c r="F157" t="inlineStr">
        <is>
          <t>KRONOBERGS LÄN</t>
        </is>
      </c>
      <c r="G157" t="inlineStr">
        <is>
          <t>ALVESTA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45447</v>
      </c>
      <c r="E158" s="1" t="n">
        <v>46278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46278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46278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46278</v>
      </c>
      <c r="F161" t="inlineStr">
        <is>
          <t>KRONOBERGS LÄN</t>
        </is>
      </c>
      <c r="G161" t="inlineStr">
        <is>
          <t>ALVESTA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46278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46278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46278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46278</v>
      </c>
      <c r="F165" t="inlineStr">
        <is>
          <t>KRONOBERGS LÄN</t>
        </is>
      </c>
      <c r="G165" t="inlineStr">
        <is>
          <t>ALVESTA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46278</v>
      </c>
      <c r="F166" t="inlineStr">
        <is>
          <t>KRONOBERGS LÄN</t>
        </is>
      </c>
      <c r="G166" t="inlineStr">
        <is>
          <t>ALVESTA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46278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44838</v>
      </c>
      <c r="E168" s="1" t="n">
        <v>46278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46278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46278</v>
      </c>
      <c r="F170" t="inlineStr">
        <is>
          <t>KRONOBERGS LÄN</t>
        </is>
      </c>
      <c r="G170" t="inlineStr">
        <is>
          <t>ALVESTA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42467-2024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46278</v>
      </c>
      <c r="F171" t="inlineStr">
        <is>
          <t>KRONOBERGS LÄN</t>
        </is>
      </c>
      <c r="G171" t="inlineStr">
        <is>
          <t>ALVESTA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46278</v>
      </c>
      <c r="F172" t="inlineStr">
        <is>
          <t>KRONOBERGS LÄN</t>
        </is>
      </c>
      <c r="G172" t="inlineStr">
        <is>
          <t>ALVESTA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44600</v>
      </c>
      <c r="E173" s="1" t="n">
        <v>46278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46278</v>
      </c>
      <c r="F174" t="inlineStr">
        <is>
          <t>KRONOBERGS LÄN</t>
        </is>
      </c>
      <c r="G174" t="inlineStr">
        <is>
          <t>ALVESTA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46278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46278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46278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46278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46278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45769</v>
      </c>
      <c r="E180" s="1" t="n">
        <v>46278</v>
      </c>
      <c r="F180" t="inlineStr">
        <is>
          <t>KRONOBERGS LÄN</t>
        </is>
      </c>
      <c r="G180" t="inlineStr">
        <is>
          <t>ALVESTA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46278</v>
      </c>
      <c r="F181" t="inlineStr">
        <is>
          <t>KRONOBERGS LÄN</t>
        </is>
      </c>
      <c r="G181" t="inlineStr">
        <is>
          <t>ALVESTA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46278</v>
      </c>
      <c r="F182" t="inlineStr">
        <is>
          <t>KRONOBERGS LÄN</t>
        </is>
      </c>
      <c r="G182" t="inlineStr">
        <is>
          <t>ALVESTA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46278</v>
      </c>
      <c r="F183" t="inlineStr">
        <is>
          <t>KRONOBERGS LÄN</t>
        </is>
      </c>
      <c r="G183" t="inlineStr">
        <is>
          <t>ALVESTA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45744</v>
      </c>
      <c r="E184" s="1" t="n">
        <v>46278</v>
      </c>
      <c r="F184" t="inlineStr">
        <is>
          <t>KRONOBERGS LÄN</t>
        </is>
      </c>
      <c r="G184" t="inlineStr">
        <is>
          <t>ALVESTA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46278</v>
      </c>
      <c r="F185" t="inlineStr">
        <is>
          <t>KRONOBERGS LÄN</t>
        </is>
      </c>
      <c r="G185" t="inlineStr">
        <is>
          <t>ALVESTA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46278</v>
      </c>
      <c r="F186" t="inlineStr">
        <is>
          <t>KRONOBERGS LÄN</t>
        </is>
      </c>
      <c r="G186" t="inlineStr">
        <is>
          <t>ALVESTA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46278</v>
      </c>
      <c r="F187" t="inlineStr">
        <is>
          <t>KRONOBERGS LÄN</t>
        </is>
      </c>
      <c r="G187" t="inlineStr">
        <is>
          <t>ALVESTA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46278</v>
      </c>
      <c r="F188" t="inlineStr">
        <is>
          <t>KRONOBERGS LÄN</t>
        </is>
      </c>
      <c r="G188" t="inlineStr">
        <is>
          <t>ALVESTA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46278</v>
      </c>
      <c r="F189" t="inlineStr">
        <is>
          <t>KRONOBERGS LÄN</t>
        </is>
      </c>
      <c r="G189" t="inlineStr">
        <is>
          <t>ALVESTA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60487-2023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45259</v>
      </c>
      <c r="E190" s="1" t="n">
        <v>46278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46278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50871-2023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46278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46278</v>
      </c>
      <c r="F193" t="inlineStr">
        <is>
          <t>KRONOBERGS LÄN</t>
        </is>
      </c>
      <c r="G193" t="inlineStr">
        <is>
          <t>ALVESTA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46278</v>
      </c>
      <c r="F194" t="inlineStr">
        <is>
          <t>KRONOBERGS LÄN</t>
        </is>
      </c>
      <c r="G194" t="inlineStr">
        <is>
          <t>ALVESTA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46278</v>
      </c>
      <c r="F195" t="inlineStr">
        <is>
          <t>KRONOBERGS LÄN</t>
        </is>
      </c>
      <c r="G195" t="inlineStr">
        <is>
          <t>ALVESTA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45852</v>
      </c>
      <c r="E196" s="1" t="n">
        <v>46278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46278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46278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46278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45608</v>
      </c>
      <c r="E200" s="1" t="n">
        <v>46278</v>
      </c>
      <c r="F200" t="inlineStr">
        <is>
          <t>KRONOBERGS LÄN</t>
        </is>
      </c>
      <c r="G200" t="inlineStr">
        <is>
          <t>ALVESTA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46278</v>
      </c>
      <c r="F201" t="inlineStr">
        <is>
          <t>KRONOBERGS LÄN</t>
        </is>
      </c>
      <c r="G201" t="inlineStr">
        <is>
          <t>ALVESTA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8671-2025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46278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44735</v>
      </c>
      <c r="E203" s="1" t="n">
        <v>46278</v>
      </c>
      <c r="F203" t="inlineStr">
        <is>
          <t>KRONOBERGS LÄN</t>
        </is>
      </c>
      <c r="G203" t="inlineStr">
        <is>
          <t>ALVESTA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44495</v>
      </c>
      <c r="E204" s="1" t="n">
        <v>46278</v>
      </c>
      <c r="F204" t="inlineStr">
        <is>
          <t>KRONOBERGS LÄN</t>
        </is>
      </c>
      <c r="G204" t="inlineStr">
        <is>
          <t>ALVESTA</t>
        </is>
      </c>
      <c r="I204" t="n">
        <v>8.800000000000001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46278</v>
      </c>
      <c r="F205" t="inlineStr">
        <is>
          <t>KRONOBERGS LÄN</t>
        </is>
      </c>
      <c r="G205" t="inlineStr">
        <is>
          <t>ALVESTA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46278</v>
      </c>
      <c r="F206" t="inlineStr">
        <is>
          <t>KRONOBERGS LÄN</t>
        </is>
      </c>
      <c r="G206" t="inlineStr">
        <is>
          <t>ALVESTA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46278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46278</v>
      </c>
      <c r="F208" t="inlineStr">
        <is>
          <t>KRONOBERGS LÄN</t>
        </is>
      </c>
      <c r="G208" t="inlineStr">
        <is>
          <t>ALVESTA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45868</v>
      </c>
      <c r="E209" s="1" t="n">
        <v>46278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45467</v>
      </c>
      <c r="E210" s="1" t="n">
        <v>46278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45874</v>
      </c>
      <c r="E211" s="1" t="n">
        <v>46278</v>
      </c>
      <c r="F211" t="inlineStr">
        <is>
          <t>KRONOBERGS LÄN</t>
        </is>
      </c>
      <c r="G211" t="inlineStr">
        <is>
          <t>ALVESTA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45426</v>
      </c>
      <c r="E212" s="1" t="n">
        <v>46278</v>
      </c>
      <c r="F212" t="inlineStr">
        <is>
          <t>KRONOBERGS LÄN</t>
        </is>
      </c>
      <c r="G212" t="inlineStr">
        <is>
          <t>ALVESTA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44528-2025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45916</v>
      </c>
      <c r="E213" s="1" t="n">
        <v>46278</v>
      </c>
      <c r="F213" t="inlineStr">
        <is>
          <t>KRONOBERGS LÄN</t>
        </is>
      </c>
      <c r="G213" t="inlineStr">
        <is>
          <t>ALVESTA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46278</v>
      </c>
      <c r="F214" t="inlineStr">
        <is>
          <t>KRONOBERGS LÄN</t>
        </is>
      </c>
      <c r="G214" t="inlineStr">
        <is>
          <t>ALVESTA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46278</v>
      </c>
      <c r="F215" t="inlineStr">
        <is>
          <t>KRONOBERGS LÄN</t>
        </is>
      </c>
      <c r="G215" t="inlineStr">
        <is>
          <t>ALVESTA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46278</v>
      </c>
      <c r="F216" t="inlineStr">
        <is>
          <t>KRONOBERGS LÄN</t>
        </is>
      </c>
      <c r="G216" t="inlineStr">
        <is>
          <t>ALVESTA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46278</v>
      </c>
      <c r="F217" t="inlineStr">
        <is>
          <t>KRONOBERGS LÄN</t>
        </is>
      </c>
      <c r="G217" t="inlineStr">
        <is>
          <t>ALVESTA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46278</v>
      </c>
      <c r="F218" t="inlineStr">
        <is>
          <t>KRONOBERGS LÄN</t>
        </is>
      </c>
      <c r="G218" t="inlineStr">
        <is>
          <t>ALVESTA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46278</v>
      </c>
      <c r="F219" t="inlineStr">
        <is>
          <t>KRONOBERGS LÄN</t>
        </is>
      </c>
      <c r="G219" t="inlineStr">
        <is>
          <t>ALVESTA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46278</v>
      </c>
      <c r="F220" t="inlineStr">
        <is>
          <t>KRONOBERGS LÄN</t>
        </is>
      </c>
      <c r="G220" t="inlineStr">
        <is>
          <t>ALVESTA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46278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45860</v>
      </c>
      <c r="E222" s="1" t="n">
        <v>46278</v>
      </c>
      <c r="F222" t="inlineStr">
        <is>
          <t>KRONOBERGS LÄN</t>
        </is>
      </c>
      <c r="G222" t="inlineStr">
        <is>
          <t>ALVESTA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46278</v>
      </c>
      <c r="F223" t="inlineStr">
        <is>
          <t>KRONOBERGS LÄN</t>
        </is>
      </c>
      <c r="G223" t="inlineStr">
        <is>
          <t>ALVESTA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46278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44735</v>
      </c>
      <c r="E225" s="1" t="n">
        <v>46278</v>
      </c>
      <c r="F225" t="inlineStr">
        <is>
          <t>KRONOBERGS LÄN</t>
        </is>
      </c>
      <c r="G225" t="inlineStr">
        <is>
          <t>ALVESTA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46278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46278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46278</v>
      </c>
      <c r="F228" t="inlineStr">
        <is>
          <t>KRONOBERGS LÄN</t>
        </is>
      </c>
      <c r="G228" t="inlineStr">
        <is>
          <t>ALVESTA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46278</v>
      </c>
      <c r="F229" t="inlineStr">
        <is>
          <t>KRONOBERGS LÄN</t>
        </is>
      </c>
      <c r="G229" t="inlineStr">
        <is>
          <t>ALVESTA</t>
        </is>
      </c>
      <c r="H229" t="inlineStr">
        <is>
          <t>Kommuner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46278</v>
      </c>
      <c r="F230" t="inlineStr">
        <is>
          <t>KRONOBERGS LÄN</t>
        </is>
      </c>
      <c r="G230" t="inlineStr">
        <is>
          <t>ALVESTA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44805</v>
      </c>
      <c r="E231" s="1" t="n">
        <v>46278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45166</v>
      </c>
      <c r="E232" s="1" t="n">
        <v>46278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46278</v>
      </c>
      <c r="F233" t="inlineStr">
        <is>
          <t>KRONOBERGS LÄN</t>
        </is>
      </c>
      <c r="G233" t="inlineStr">
        <is>
          <t>ALVESTA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45385</v>
      </c>
      <c r="E234" s="1" t="n">
        <v>46278</v>
      </c>
      <c r="F234" t="inlineStr">
        <is>
          <t>KRONOBERGS LÄN</t>
        </is>
      </c>
      <c r="G234" t="inlineStr">
        <is>
          <t>ALVESTA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44747</v>
      </c>
      <c r="E235" s="1" t="n">
        <v>46278</v>
      </c>
      <c r="F235" t="inlineStr">
        <is>
          <t>KRONOBERGS LÄN</t>
        </is>
      </c>
      <c r="G235" t="inlineStr">
        <is>
          <t>ALVESTA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11331-2026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46081</v>
      </c>
      <c r="E236" s="1" t="n">
        <v>46278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46278</v>
      </c>
      <c r="F237" t="inlineStr">
        <is>
          <t>KRONOBERGS LÄN</t>
        </is>
      </c>
      <c r="G237" t="inlineStr">
        <is>
          <t>ALVESTA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46278</v>
      </c>
      <c r="F238" t="inlineStr">
        <is>
          <t>KRONOBERGS LÄN</t>
        </is>
      </c>
      <c r="G238" t="inlineStr">
        <is>
          <t>ALVESTA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48716-2025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46278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46278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46278</v>
      </c>
      <c r="F241" t="inlineStr">
        <is>
          <t>KRONOBERGS LÄN</t>
        </is>
      </c>
      <c r="G241" t="inlineStr">
        <is>
          <t>ALVESTA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50733-2023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45217</v>
      </c>
      <c r="E242" s="1" t="n">
        <v>46278</v>
      </c>
      <c r="F242" t="inlineStr">
        <is>
          <t>KRONOBERGS LÄN</t>
        </is>
      </c>
      <c r="G242" t="inlineStr">
        <is>
          <t>ALVESTA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46278</v>
      </c>
      <c r="F243" t="inlineStr">
        <is>
          <t>KRONOBERGS LÄN</t>
        </is>
      </c>
      <c r="G243" t="inlineStr">
        <is>
          <t>ALVESTA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46278</v>
      </c>
      <c r="F244" t="inlineStr">
        <is>
          <t>KRONOBERGS LÄN</t>
        </is>
      </c>
      <c r="G244" t="inlineStr">
        <is>
          <t>ALVESTA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45135</v>
      </c>
      <c r="E245" s="1" t="n">
        <v>46278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46278</v>
      </c>
      <c r="F246" t="inlineStr">
        <is>
          <t>KRONOBERGS LÄN</t>
        </is>
      </c>
      <c r="G246" t="inlineStr">
        <is>
          <t>ALVESTA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12258-2026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46087</v>
      </c>
      <c r="E247" s="1" t="n">
        <v>46278</v>
      </c>
      <c r="F247" t="inlineStr">
        <is>
          <t>KRONOBERGS LÄN</t>
        </is>
      </c>
      <c r="G247" t="inlineStr">
        <is>
          <t>ALVESTA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45890</v>
      </c>
      <c r="E248" s="1" t="n">
        <v>46278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46278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45673</v>
      </c>
      <c r="E250" s="1" t="n">
        <v>46278</v>
      </c>
      <c r="F250" t="inlineStr">
        <is>
          <t>KRONOBERGS LÄN</t>
        </is>
      </c>
      <c r="G250" t="inlineStr">
        <is>
          <t>ALVESTA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45673</v>
      </c>
      <c r="E251" s="1" t="n">
        <v>46278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46278</v>
      </c>
      <c r="F252" t="inlineStr">
        <is>
          <t>KRONOBERGS LÄN</t>
        </is>
      </c>
      <c r="G252" t="inlineStr">
        <is>
          <t>ALVESTA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58648-2024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45635</v>
      </c>
      <c r="E253" s="1" t="n">
        <v>46278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46278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45005</v>
      </c>
      <c r="E255" s="1" t="n">
        <v>46278</v>
      </c>
      <c r="F255" t="inlineStr">
        <is>
          <t>KRONOBERGS LÄN</t>
        </is>
      </c>
      <c r="G255" t="inlineStr">
        <is>
          <t>ALVESTA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46278</v>
      </c>
      <c r="F256" t="inlineStr">
        <is>
          <t>KRONOBERGS LÄN</t>
        </is>
      </c>
      <c r="G256" t="inlineStr">
        <is>
          <t>ALVESTA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46278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40049-2022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46278</v>
      </c>
      <c r="F258" t="inlineStr">
        <is>
          <t>KRONOBERGS LÄN</t>
        </is>
      </c>
      <c r="G258" t="inlineStr">
        <is>
          <t>ALVESTA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46278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46278</v>
      </c>
      <c r="F260" t="inlineStr">
        <is>
          <t>KRONOBERGS LÄN</t>
        </is>
      </c>
      <c r="G260" t="inlineStr">
        <is>
          <t>ALVESTA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46098</v>
      </c>
      <c r="E261" s="1" t="n">
        <v>46278</v>
      </c>
      <c r="F261" t="inlineStr">
        <is>
          <t>KRONOBERGS LÄN</t>
        </is>
      </c>
      <c r="G261" t="inlineStr">
        <is>
          <t>ALVESTA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46278</v>
      </c>
      <c r="F262" t="inlineStr">
        <is>
          <t>KRONOBERGS LÄN</t>
        </is>
      </c>
      <c r="G262" t="inlineStr">
        <is>
          <t>ALVESTA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46278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32978-2023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46278</v>
      </c>
      <c r="F264" t="inlineStr">
        <is>
          <t>KRONOBERGS LÄN</t>
        </is>
      </c>
      <c r="G264" t="inlineStr">
        <is>
          <t>ALVESTA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46278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45476</v>
      </c>
      <c r="E266" s="1" t="n">
        <v>46278</v>
      </c>
      <c r="F266" t="inlineStr">
        <is>
          <t>KRONOBERGS LÄN</t>
        </is>
      </c>
      <c r="G266" t="inlineStr">
        <is>
          <t>ALVESTA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46278</v>
      </c>
      <c r="F267" t="inlineStr">
        <is>
          <t>KRONOBERGS LÄN</t>
        </is>
      </c>
      <c r="G267" t="inlineStr">
        <is>
          <t>ALVESTA</t>
        </is>
      </c>
      <c r="H267" t="inlineStr">
        <is>
          <t>Övriga Aktiebolag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46278</v>
      </c>
      <c r="F268" t="inlineStr">
        <is>
          <t>KRONOBERGS LÄN</t>
        </is>
      </c>
      <c r="G268" t="inlineStr">
        <is>
          <t>ALVESTA</t>
        </is>
      </c>
      <c r="H268" t="inlineStr">
        <is>
          <t>Övriga Aktiebolag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45763</v>
      </c>
      <c r="E269" s="1" t="n">
        <v>46278</v>
      </c>
      <c r="F269" t="inlineStr">
        <is>
          <t>KRONOBERGS LÄN</t>
        </is>
      </c>
      <c r="G269" t="inlineStr">
        <is>
          <t>ALVESTA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46278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46278</v>
      </c>
      <c r="F271" t="inlineStr">
        <is>
          <t>KRONOBERGS LÄN</t>
        </is>
      </c>
      <c r="G271" t="inlineStr">
        <is>
          <t>ALVESTA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46278</v>
      </c>
      <c r="F272" t="inlineStr">
        <is>
          <t>KRONOBERGS LÄN</t>
        </is>
      </c>
      <c r="G272" t="inlineStr">
        <is>
          <t>ALVESTA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46278</v>
      </c>
      <c r="F273" t="inlineStr">
        <is>
          <t>KRONOBERGS LÄN</t>
        </is>
      </c>
      <c r="G273" t="inlineStr">
        <is>
          <t>ALVESTA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46278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45092</v>
      </c>
      <c r="E275" s="1" t="n">
        <v>46278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46278</v>
      </c>
      <c r="F276" t="inlineStr">
        <is>
          <t>KRONOBERGS LÄN</t>
        </is>
      </c>
      <c r="G276" t="inlineStr">
        <is>
          <t>ALVESTA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46278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46278</v>
      </c>
      <c r="F278" t="inlineStr">
        <is>
          <t>KRONOBERGS LÄN</t>
        </is>
      </c>
      <c r="G278" t="inlineStr">
        <is>
          <t>ALVESTA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46120</v>
      </c>
      <c r="E279" s="1" t="n">
        <v>46278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46278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46278</v>
      </c>
      <c r="F281" t="inlineStr">
        <is>
          <t>KRONOBERGS LÄN</t>
        </is>
      </c>
      <c r="G281" t="inlineStr">
        <is>
          <t>ALVESTA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46278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36750-2022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44805</v>
      </c>
      <c r="E283" s="1" t="n">
        <v>46278</v>
      </c>
      <c r="F283" t="inlineStr">
        <is>
          <t>KRONOBERGS LÄN</t>
        </is>
      </c>
      <c r="G283" t="inlineStr">
        <is>
          <t>ALVESTA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17823-2026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46122</v>
      </c>
      <c r="E284" s="1" t="n">
        <v>46278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46278</v>
      </c>
      <c r="F285" t="inlineStr">
        <is>
          <t>KRONOBERGS LÄN</t>
        </is>
      </c>
      <c r="G285" t="inlineStr">
        <is>
          <t>ALVESTA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46278</v>
      </c>
      <c r="F286" t="inlineStr">
        <is>
          <t>KRONOBERGS LÄN</t>
        </is>
      </c>
      <c r="G286" t="inlineStr">
        <is>
          <t>ALVESTA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46278</v>
      </c>
      <c r="F287" t="inlineStr">
        <is>
          <t>KRONOBERGS LÄN</t>
        </is>
      </c>
      <c r="G287" t="inlineStr">
        <is>
          <t>ALVESTA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46278</v>
      </c>
      <c r="F288" t="inlineStr">
        <is>
          <t>KRONOBERGS LÄN</t>
        </is>
      </c>
      <c r="G288" t="inlineStr">
        <is>
          <t>ALVESTA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17801-2026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46122</v>
      </c>
      <c r="E289" s="1" t="n">
        <v>46278</v>
      </c>
      <c r="F289" t="inlineStr">
        <is>
          <t>KRONOBERGS LÄN</t>
        </is>
      </c>
      <c r="G289" t="inlineStr">
        <is>
          <t>ALVESTA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46278</v>
      </c>
      <c r="F290" t="inlineStr">
        <is>
          <t>KRONOBERGS LÄN</t>
        </is>
      </c>
      <c r="G290" t="inlineStr">
        <is>
          <t>ALVESTA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46278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46278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46278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46278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30699-2023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46278</v>
      </c>
      <c r="F295" t="inlineStr">
        <is>
          <t>KRONOBERGS LÄN</t>
        </is>
      </c>
      <c r="G295" t="inlineStr">
        <is>
          <t>ALVESTA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46278</v>
      </c>
      <c r="F296" t="inlineStr">
        <is>
          <t>KRONOBERGS LÄN</t>
        </is>
      </c>
      <c r="G296" t="inlineStr">
        <is>
          <t>ALVESTA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46278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59340-2025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45989</v>
      </c>
      <c r="E298" s="1" t="n">
        <v>46278</v>
      </c>
      <c r="F298" t="inlineStr">
        <is>
          <t>KRONOBERGS LÄN</t>
        </is>
      </c>
      <c r="G298" t="inlineStr">
        <is>
          <t>ALVESTA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46129</v>
      </c>
      <c r="E299" s="1" t="n">
        <v>46278</v>
      </c>
      <c r="F299" t="inlineStr">
        <is>
          <t>KRONOBERGS LÄN</t>
        </is>
      </c>
      <c r="G299" t="inlineStr">
        <is>
          <t>ALVESTA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46278</v>
      </c>
      <c r="F300" t="inlineStr">
        <is>
          <t>KRONOBERGS LÄN</t>
        </is>
      </c>
      <c r="G300" t="inlineStr">
        <is>
          <t>ALVESTA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46278</v>
      </c>
      <c r="F301" t="inlineStr">
        <is>
          <t>KRONOBERGS LÄN</t>
        </is>
      </c>
      <c r="G301" t="inlineStr">
        <is>
          <t>ALVESTA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46278</v>
      </c>
      <c r="F302" t="inlineStr">
        <is>
          <t>KRONOBERGS LÄN</t>
        </is>
      </c>
      <c r="G302" t="inlineStr">
        <is>
          <t>ALVESTA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46278</v>
      </c>
      <c r="F303" t="inlineStr">
        <is>
          <t>KRONOBERGS LÄN</t>
        </is>
      </c>
      <c r="G303" t="inlineStr">
        <is>
          <t>ALVESTA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46278</v>
      </c>
      <c r="F304" t="inlineStr">
        <is>
          <t>KRONOBERGS LÄN</t>
        </is>
      </c>
      <c r="G304" t="inlineStr">
        <is>
          <t>ALVESTA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46278</v>
      </c>
      <c r="F305" t="inlineStr">
        <is>
          <t>KRONOBERGS LÄN</t>
        </is>
      </c>
      <c r="G305" t="inlineStr">
        <is>
          <t>ALVESTA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46132</v>
      </c>
      <c r="E306" s="1" t="n">
        <v>46278</v>
      </c>
      <c r="F306" t="inlineStr">
        <is>
          <t>KRONOBERGS LÄN</t>
        </is>
      </c>
      <c r="G306" t="inlineStr">
        <is>
          <t>ALVESTA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46278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46278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60700-2025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45996</v>
      </c>
      <c r="E309" s="1" t="n">
        <v>46278</v>
      </c>
      <c r="F309" t="inlineStr">
        <is>
          <t>KRONOBERGS LÄN</t>
        </is>
      </c>
      <c r="G309" t="inlineStr">
        <is>
          <t>ALVESTA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46278</v>
      </c>
      <c r="F310" t="inlineStr">
        <is>
          <t>KRONOBERGS LÄN</t>
        </is>
      </c>
      <c r="G310" t="inlineStr">
        <is>
          <t>ALVESTA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45996</v>
      </c>
      <c r="E311" s="1" t="n">
        <v>46278</v>
      </c>
      <c r="F311" t="inlineStr">
        <is>
          <t>KRONOBERGS LÄN</t>
        </is>
      </c>
      <c r="G311" t="inlineStr">
        <is>
          <t>ALVESTA</t>
        </is>
      </c>
      <c r="H311" t="inlineStr">
        <is>
          <t>Kyrkan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44880</v>
      </c>
      <c r="E312" s="1" t="n">
        <v>46278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45471</v>
      </c>
      <c r="E313" s="1" t="n">
        <v>46278</v>
      </c>
      <c r="F313" t="inlineStr">
        <is>
          <t>KRONOBERGS LÄN</t>
        </is>
      </c>
      <c r="G313" t="inlineStr">
        <is>
          <t>ALVESTA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46278</v>
      </c>
      <c r="F314" t="inlineStr">
        <is>
          <t>KRONOBERGS LÄN</t>
        </is>
      </c>
      <c r="G314" t="inlineStr">
        <is>
          <t>ALVESTA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45300</v>
      </c>
      <c r="E315" s="1" t="n">
        <v>46278</v>
      </c>
      <c r="F315" t="inlineStr">
        <is>
          <t>KRONOBERGS LÄN</t>
        </is>
      </c>
      <c r="G315" t="inlineStr">
        <is>
          <t>ALVESTA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46278</v>
      </c>
      <c r="F316" t="inlineStr">
        <is>
          <t>KRONOBERGS LÄN</t>
        </is>
      </c>
      <c r="G316" t="inlineStr">
        <is>
          <t>ALVESTA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46278</v>
      </c>
      <c r="F317" t="inlineStr">
        <is>
          <t>KRONOBERGS LÄN</t>
        </is>
      </c>
      <c r="G317" t="inlineStr">
        <is>
          <t>ALVESTA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46278</v>
      </c>
      <c r="F318" t="inlineStr">
        <is>
          <t>KRONOBERGS LÄN</t>
        </is>
      </c>
      <c r="G318" t="inlineStr">
        <is>
          <t>ALVESTA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46278</v>
      </c>
      <c r="F319" t="inlineStr">
        <is>
          <t>KRONOBERGS LÄN</t>
        </is>
      </c>
      <c r="G319" t="inlineStr">
        <is>
          <t>ALVESTA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46278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45555</v>
      </c>
      <c r="E321" s="1" t="n">
        <v>46278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45078</v>
      </c>
      <c r="E322" s="1" t="n">
        <v>46278</v>
      </c>
      <c r="F322" t="inlineStr">
        <is>
          <t>KRONOBERGS LÄN</t>
        </is>
      </c>
      <c r="G322" t="inlineStr">
        <is>
          <t>ALVESTA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45296</v>
      </c>
      <c r="E323" s="1" t="n">
        <v>46278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45744</v>
      </c>
      <c r="E324" s="1" t="n">
        <v>46278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46278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20101-2026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46278</v>
      </c>
      <c r="F326" t="inlineStr">
        <is>
          <t>KRONOBERGS LÄN</t>
        </is>
      </c>
      <c r="G326" t="inlineStr">
        <is>
          <t>ALVESTA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62744-2025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46008</v>
      </c>
      <c r="E327" s="1" t="n">
        <v>46278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45726</v>
      </c>
      <c r="E328" s="1" t="n">
        <v>46278</v>
      </c>
      <c r="F328" t="inlineStr">
        <is>
          <t>KRONOBERGS LÄN</t>
        </is>
      </c>
      <c r="G328" t="inlineStr">
        <is>
          <t>ALVESTA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45436</v>
      </c>
      <c r="E329" s="1" t="n">
        <v>46278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45436</v>
      </c>
      <c r="E330" s="1" t="n">
        <v>46278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38875-2022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44816</v>
      </c>
      <c r="E331" s="1" t="n">
        <v>46278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46278</v>
      </c>
      <c r="F332" t="inlineStr">
        <is>
          <t>KRONOBERGS LÄN</t>
        </is>
      </c>
      <c r="G332" t="inlineStr">
        <is>
          <t>ALVESTA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46278</v>
      </c>
      <c r="F333" t="inlineStr">
        <is>
          <t>KRONOBERGS LÄN</t>
        </is>
      </c>
      <c r="G333" t="inlineStr">
        <is>
          <t>ALVESTA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45838</v>
      </c>
      <c r="E334" s="1" t="n">
        <v>46278</v>
      </c>
      <c r="F334" t="inlineStr">
        <is>
          <t>KRONOBERGS LÄN</t>
        </is>
      </c>
      <c r="G334" t="inlineStr">
        <is>
          <t>ALVESTA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46278</v>
      </c>
      <c r="F335" t="inlineStr">
        <is>
          <t>KRONOBERGS LÄN</t>
        </is>
      </c>
      <c r="G335" t="inlineStr">
        <is>
          <t>ALVESTA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46278</v>
      </c>
      <c r="F336" t="inlineStr">
        <is>
          <t>KRONOBERGS LÄN</t>
        </is>
      </c>
      <c r="G336" t="inlineStr">
        <is>
          <t>ALVESTA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50852-2025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46278</v>
      </c>
      <c r="F337" t="inlineStr">
        <is>
          <t>KRONOBERGS LÄN</t>
        </is>
      </c>
      <c r="G337" t="inlineStr">
        <is>
          <t>ALVESTA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46278</v>
      </c>
      <c r="F338" t="inlineStr">
        <is>
          <t>KRONOBERGS LÄN</t>
        </is>
      </c>
      <c r="G338" t="inlineStr">
        <is>
          <t>ALVESTA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46278</v>
      </c>
      <c r="F339" t="inlineStr">
        <is>
          <t>KRONOBERGS LÄN</t>
        </is>
      </c>
      <c r="G339" t="inlineStr">
        <is>
          <t>ALVESTA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46278</v>
      </c>
      <c r="F340" t="inlineStr">
        <is>
          <t>KRONOBERGS LÄN</t>
        </is>
      </c>
      <c r="G340" t="inlineStr">
        <is>
          <t>ALVESTA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32374-2023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45110</v>
      </c>
      <c r="E341" s="1" t="n">
        <v>46278</v>
      </c>
      <c r="F341" t="inlineStr">
        <is>
          <t>KRONOBERGS LÄN</t>
        </is>
      </c>
      <c r="G341" t="inlineStr">
        <is>
          <t>ALVESTA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44951</v>
      </c>
      <c r="E342" s="1" t="n">
        <v>46278</v>
      </c>
      <c r="F342" t="inlineStr">
        <is>
          <t>KRONOBERGS LÄN</t>
        </is>
      </c>
      <c r="G342" t="inlineStr">
        <is>
          <t>ALVESTA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45341</v>
      </c>
      <c r="E343" s="1" t="n">
        <v>46278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46278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45949</v>
      </c>
      <c r="E345" s="1" t="n">
        <v>46278</v>
      </c>
      <c r="F345" t="inlineStr">
        <is>
          <t>KRONOBERGS LÄN</t>
        </is>
      </c>
      <c r="G345" t="inlineStr">
        <is>
          <t>ALVESTA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45114</v>
      </c>
      <c r="E346" s="1" t="n">
        <v>46278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46278</v>
      </c>
      <c r="F347" t="inlineStr">
        <is>
          <t>KRONOBERGS LÄN</t>
        </is>
      </c>
      <c r="G347" t="inlineStr">
        <is>
          <t>ALVESTA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46278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46278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45337</v>
      </c>
      <c r="E350" s="1" t="n">
        <v>46278</v>
      </c>
      <c r="F350" t="inlineStr">
        <is>
          <t>KRONOBERGS LÄN</t>
        </is>
      </c>
      <c r="G350" t="inlineStr">
        <is>
          <t>ALVESTA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46278</v>
      </c>
      <c r="F351" t="inlineStr">
        <is>
          <t>KRONOBERGS LÄN</t>
        </is>
      </c>
      <c r="G351" t="inlineStr">
        <is>
          <t>ALVESTA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46278</v>
      </c>
      <c r="F352" t="inlineStr">
        <is>
          <t>KRONOBERGS LÄN</t>
        </is>
      </c>
      <c r="G352" t="inlineStr">
        <is>
          <t>ALVESTA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45858</v>
      </c>
      <c r="E353" s="1" t="n">
        <v>46278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16355-2024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45407</v>
      </c>
      <c r="E354" s="1" t="n">
        <v>46278</v>
      </c>
      <c r="F354" t="inlineStr">
        <is>
          <t>KRONOBERGS LÄN</t>
        </is>
      </c>
      <c r="G354" t="inlineStr">
        <is>
          <t>ALVESTA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46278</v>
      </c>
      <c r="F355" t="inlineStr">
        <is>
          <t>KRONOBERGS LÄN</t>
        </is>
      </c>
      <c r="G355" t="inlineStr">
        <is>
          <t>ALVESTA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45519</v>
      </c>
      <c r="E356" s="1" t="n">
        <v>46278</v>
      </c>
      <c r="F356" t="inlineStr">
        <is>
          <t>KRONOBERGS LÄN</t>
        </is>
      </c>
      <c r="G356" t="inlineStr">
        <is>
          <t>ALVESTA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46278</v>
      </c>
      <c r="F357" t="inlineStr">
        <is>
          <t>KRONOBERGS LÄN</t>
        </is>
      </c>
      <c r="G357" t="inlineStr">
        <is>
          <t>ALVESTA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44925</v>
      </c>
      <c r="E358" s="1" t="n">
        <v>46278</v>
      </c>
      <c r="F358" t="inlineStr">
        <is>
          <t>KRONOBERGS LÄN</t>
        </is>
      </c>
      <c r="G358" t="inlineStr">
        <is>
          <t>ALVESTA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46278</v>
      </c>
      <c r="F359" t="inlineStr">
        <is>
          <t>KRONOBERGS LÄN</t>
        </is>
      </c>
      <c r="G359" t="inlineStr">
        <is>
          <t>ALVESTA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44601</v>
      </c>
      <c r="E360" s="1" t="n">
        <v>46278</v>
      </c>
      <c r="F360" t="inlineStr">
        <is>
          <t>KRONOBERGS LÄN</t>
        </is>
      </c>
      <c r="G360" t="inlineStr">
        <is>
          <t>ALVESTA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46278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45834</v>
      </c>
      <c r="E362" s="1" t="n">
        <v>46278</v>
      </c>
      <c r="F362" t="inlineStr">
        <is>
          <t>KRONOBERGS LÄN</t>
        </is>
      </c>
      <c r="G362" t="inlineStr">
        <is>
          <t>ALVESTA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46278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46278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46278</v>
      </c>
      <c r="F365" t="inlineStr">
        <is>
          <t>KRONOBERGS LÄN</t>
        </is>
      </c>
      <c r="G365" t="inlineStr">
        <is>
          <t>ALVESTA</t>
        </is>
      </c>
      <c r="H365" t="inlineStr">
        <is>
          <t>Kyrkan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45482</v>
      </c>
      <c r="E366" s="1" t="n">
        <v>46278</v>
      </c>
      <c r="F366" t="inlineStr">
        <is>
          <t>KRONOBERGS LÄN</t>
        </is>
      </c>
      <c r="G366" t="inlineStr">
        <is>
          <t>ALVESTA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12608-2023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46278</v>
      </c>
      <c r="F367" t="inlineStr">
        <is>
          <t>KRONOBERGS LÄN</t>
        </is>
      </c>
      <c r="G367" t="inlineStr">
        <is>
          <t>ALVESTA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46278</v>
      </c>
      <c r="F368" t="inlineStr">
        <is>
          <t>KRONOBERGS LÄN</t>
        </is>
      </c>
      <c r="G368" t="inlineStr">
        <is>
          <t>ALVESTA</t>
        </is>
      </c>
      <c r="I368" t="n">
        <v>9.6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45563</v>
      </c>
      <c r="E369" s="1" t="n">
        <v>46278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46278</v>
      </c>
      <c r="F370" t="inlineStr">
        <is>
          <t>KRONOBERGS LÄN</t>
        </is>
      </c>
      <c r="G370" t="inlineStr">
        <is>
          <t>ALVESTA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45771</v>
      </c>
      <c r="E371" s="1" t="n">
        <v>46278</v>
      </c>
      <c r="F371" t="inlineStr">
        <is>
          <t>KRONOBERGS LÄN</t>
        </is>
      </c>
      <c r="G371" t="inlineStr">
        <is>
          <t>ALVESTA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45771</v>
      </c>
      <c r="E372" s="1" t="n">
        <v>46278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46278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46278</v>
      </c>
      <c r="F374" t="inlineStr">
        <is>
          <t>KRONOBERGS LÄN</t>
        </is>
      </c>
      <c r="G374" t="inlineStr">
        <is>
          <t>ALVESTA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17791-2024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46278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46063</v>
      </c>
      <c r="E376" s="1" t="n">
        <v>46278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8320-2026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46064</v>
      </c>
      <c r="E377" s="1" t="n">
        <v>46278</v>
      </c>
      <c r="F377" t="inlineStr">
        <is>
          <t>KRONOBERGS LÄN</t>
        </is>
      </c>
      <c r="G377" t="inlineStr">
        <is>
          <t>ALVESTA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46278</v>
      </c>
      <c r="F378" t="inlineStr">
        <is>
          <t>KRONOBERGS LÄN</t>
        </is>
      </c>
      <c r="G378" t="inlineStr">
        <is>
          <t>ALVESTA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53452-2024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46278</v>
      </c>
      <c r="F379" t="inlineStr">
        <is>
          <t>KRONOBERGS LÄN</t>
        </is>
      </c>
      <c r="G379" t="inlineStr">
        <is>
          <t>ALVESTA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45642</v>
      </c>
      <c r="E380" s="1" t="n">
        <v>46278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46278</v>
      </c>
      <c r="F381" t="inlineStr">
        <is>
          <t>KRONOBERGS LÄN</t>
        </is>
      </c>
      <c r="G381" t="inlineStr">
        <is>
          <t>ALVESTA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46278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45342</v>
      </c>
      <c r="E383" s="1" t="n">
        <v>46278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33059-2024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45517</v>
      </c>
      <c r="E384" s="1" t="n">
        <v>46278</v>
      </c>
      <c r="F384" t="inlineStr">
        <is>
          <t>KRONOBERGS LÄN</t>
        </is>
      </c>
      <c r="G384" t="inlineStr">
        <is>
          <t>ALVESTA</t>
        </is>
      </c>
      <c r="H384" t="inlineStr">
        <is>
          <t>Kyrkan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52110-2024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46278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45699</v>
      </c>
      <c r="E386" s="1" t="n">
        <v>46278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45613</v>
      </c>
      <c r="E387" s="1" t="n">
        <v>46278</v>
      </c>
      <c r="F387" t="inlineStr">
        <is>
          <t>KRONOBERGS LÄN</t>
        </is>
      </c>
      <c r="G387" t="inlineStr">
        <is>
          <t>ALVESTA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46278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45009</v>
      </c>
      <c r="E389" s="1" t="n">
        <v>46278</v>
      </c>
      <c r="F389" t="inlineStr">
        <is>
          <t>KRONOBERGS LÄN</t>
        </is>
      </c>
      <c r="G389" t="inlineStr">
        <is>
          <t>ALVESTA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46278</v>
      </c>
      <c r="F390" t="inlineStr">
        <is>
          <t>KRONOBERGS LÄN</t>
        </is>
      </c>
      <c r="G390" t="inlineStr">
        <is>
          <t>ALVESTA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46278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52087-2024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46278</v>
      </c>
      <c r="F392" t="inlineStr">
        <is>
          <t>KRONOBERGS LÄN</t>
        </is>
      </c>
      <c r="G392" t="inlineStr">
        <is>
          <t>ALVESTA</t>
        </is>
      </c>
      <c r="H392" t="inlineStr">
        <is>
          <t>Övriga Aktiebolag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45447</v>
      </c>
      <c r="E393" s="1" t="n">
        <v>46278</v>
      </c>
      <c r="F393" t="inlineStr">
        <is>
          <t>KRONOBERGS LÄN</t>
        </is>
      </c>
      <c r="G393" t="inlineStr">
        <is>
          <t>ALVESTA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46278</v>
      </c>
      <c r="F394" t="inlineStr">
        <is>
          <t>KRONOBERGS LÄN</t>
        </is>
      </c>
      <c r="G394" t="inlineStr">
        <is>
          <t>ALVESTA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33113-2023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45114</v>
      </c>
      <c r="E395" s="1" t="n">
        <v>46278</v>
      </c>
      <c r="F395" t="inlineStr">
        <is>
          <t>KRONOBERGS LÄN</t>
        </is>
      </c>
      <c r="G395" t="inlineStr">
        <is>
          <t>ALVESTA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760-2022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44569</v>
      </c>
      <c r="E396" s="1" t="n">
        <v>46278</v>
      </c>
      <c r="F396" t="inlineStr">
        <is>
          <t>KRONOBERGS LÄN</t>
        </is>
      </c>
      <c r="G396" t="inlineStr">
        <is>
          <t>ALVESTA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44606</v>
      </c>
      <c r="E397" s="1" t="n">
        <v>46278</v>
      </c>
      <c r="F397" t="inlineStr">
        <is>
          <t>KRONOBERGS LÄN</t>
        </is>
      </c>
      <c r="G397" t="inlineStr">
        <is>
          <t>ALVESTA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12818-2025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45733</v>
      </c>
      <c r="E398" s="1" t="n">
        <v>46278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45218</v>
      </c>
      <c r="E399" s="1" t="n">
        <v>46278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46084</v>
      </c>
      <c r="E400" s="1" t="n">
        <v>46278</v>
      </c>
      <c r="F400" t="inlineStr">
        <is>
          <t>KRONOBERGS LÄN</t>
        </is>
      </c>
      <c r="G400" t="inlineStr">
        <is>
          <t>ALVESTA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27247-2024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46278</v>
      </c>
      <c r="F401" t="inlineStr">
        <is>
          <t>KRONOBERGS LÄN</t>
        </is>
      </c>
      <c r="G401" t="inlineStr">
        <is>
          <t>ALVESTA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27252-2024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46278</v>
      </c>
      <c r="F402" t="inlineStr">
        <is>
          <t>KRONOBERGS LÄN</t>
        </is>
      </c>
      <c r="G402" t="inlineStr">
        <is>
          <t>ALVESTA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46278</v>
      </c>
      <c r="F403" t="inlineStr">
        <is>
          <t>KRONOBERGS LÄN</t>
        </is>
      </c>
      <c r="G403" t="inlineStr">
        <is>
          <t>ALVESTA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6365-2024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45338</v>
      </c>
      <c r="E404" s="1" t="n">
        <v>46278</v>
      </c>
      <c r="F404" t="inlineStr">
        <is>
          <t>KRONOBERGS LÄN</t>
        </is>
      </c>
      <c r="G404" t="inlineStr">
        <is>
          <t>ALVESTA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46278</v>
      </c>
      <c r="F405" t="inlineStr">
        <is>
          <t>KRONOBERGS LÄN</t>
        </is>
      </c>
      <c r="G405" t="inlineStr">
        <is>
          <t>ALVESTA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45345</v>
      </c>
      <c r="E406" s="1" t="n">
        <v>46278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46278</v>
      </c>
      <c r="F407" t="inlineStr">
        <is>
          <t>KRONOBERGS LÄN</t>
        </is>
      </c>
      <c r="G407" t="inlineStr">
        <is>
          <t>ALVESTA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67331-2021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44523</v>
      </c>
      <c r="E408" s="1" t="n">
        <v>46278</v>
      </c>
      <c r="F408" t="inlineStr">
        <is>
          <t>KRONOBERGS LÄN</t>
        </is>
      </c>
      <c r="G408" t="inlineStr">
        <is>
          <t>ALVESTA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44581</v>
      </c>
      <c r="E409" s="1" t="n">
        <v>46278</v>
      </c>
      <c r="F409" t="inlineStr">
        <is>
          <t>KRONOBERGS LÄN</t>
        </is>
      </c>
      <c r="G409" t="inlineStr">
        <is>
          <t>ALVESTA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52048-2024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46278</v>
      </c>
      <c r="F410" t="inlineStr">
        <is>
          <t>KRONOBERGS LÄN</t>
        </is>
      </c>
      <c r="G410" t="inlineStr">
        <is>
          <t>ALVESTA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45182</v>
      </c>
      <c r="E411" s="1" t="n">
        <v>46278</v>
      </c>
      <c r="F411" t="inlineStr">
        <is>
          <t>KRONOBERGS LÄN</t>
        </is>
      </c>
      <c r="G411" t="inlineStr">
        <is>
          <t>ALVESTA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45366</v>
      </c>
      <c r="E412" s="1" t="n">
        <v>46278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46278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46278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45854</v>
      </c>
      <c r="E415" s="1" t="n">
        <v>46278</v>
      </c>
      <c r="F415" t="inlineStr">
        <is>
          <t>KRONOBERGS LÄN</t>
        </is>
      </c>
      <c r="G415" t="inlineStr">
        <is>
          <t>ALVESTA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12065-2025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46278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45095</v>
      </c>
      <c r="E417" s="1" t="n">
        <v>46278</v>
      </c>
      <c r="F417" t="inlineStr">
        <is>
          <t>KRONOBERGS LÄN</t>
        </is>
      </c>
      <c r="G417" t="inlineStr">
        <is>
          <t>ALVESTA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45896</v>
      </c>
      <c r="E418" s="1" t="n">
        <v>46278</v>
      </c>
      <c r="F418" t="inlineStr">
        <is>
          <t>KRONOBERGS LÄN</t>
        </is>
      </c>
      <c r="G418" t="inlineStr">
        <is>
          <t>ALVESTA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15262-2024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45400</v>
      </c>
      <c r="E419" s="1" t="n">
        <v>46278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46278</v>
      </c>
      <c r="F420" t="inlineStr">
        <is>
          <t>KRONOBERGS LÄN</t>
        </is>
      </c>
      <c r="G420" t="inlineStr">
        <is>
          <t>ALVESTA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61902-2024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45653</v>
      </c>
      <c r="E421" s="1" t="n">
        <v>46278</v>
      </c>
      <c r="F421" t="inlineStr">
        <is>
          <t>KRONOBERGS LÄN</t>
        </is>
      </c>
      <c r="G421" t="inlineStr">
        <is>
          <t>ALVESTA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46278</v>
      </c>
      <c r="F422" t="inlineStr">
        <is>
          <t>KRONOBERGS LÄN</t>
        </is>
      </c>
      <c r="G422" t="inlineStr">
        <is>
          <t>ALVESTA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46278</v>
      </c>
      <c r="F423" t="inlineStr">
        <is>
          <t>KRONOBERGS LÄN</t>
        </is>
      </c>
      <c r="G423" t="inlineStr">
        <is>
          <t>ALVESTA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23905-2026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46278</v>
      </c>
      <c r="F424" t="inlineStr">
        <is>
          <t>KRONOBERGS LÄN</t>
        </is>
      </c>
      <c r="G424" t="inlineStr">
        <is>
          <t>ALVESTA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45173</v>
      </c>
      <c r="E425" s="1" t="n">
        <v>46278</v>
      </c>
      <c r="F425" t="inlineStr">
        <is>
          <t>KRONOBERGS LÄN</t>
        </is>
      </c>
      <c r="G425" t="inlineStr">
        <is>
          <t>ALVESTA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45155</v>
      </c>
      <c r="E426" s="1" t="n">
        <v>46278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24420-2026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46169</v>
      </c>
      <c r="E427" s="1" t="n">
        <v>46278</v>
      </c>
      <c r="F427" t="inlineStr">
        <is>
          <t>KRONOBERGS LÄN</t>
        </is>
      </c>
      <c r="G427" t="inlineStr">
        <is>
          <t>ALVESTA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24419-2026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46278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46278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45398</v>
      </c>
      <c r="E430" s="1" t="n">
        <v>46278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46278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46278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44743</v>
      </c>
      <c r="E433" s="1" t="n">
        <v>46278</v>
      </c>
      <c r="F433" t="inlineStr">
        <is>
          <t>KRONOBERGS LÄN</t>
        </is>
      </c>
      <c r="G433" t="inlineStr">
        <is>
          <t>ALVESTA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46278</v>
      </c>
      <c r="F434" t="inlineStr">
        <is>
          <t>KRONOBERGS LÄN</t>
        </is>
      </c>
      <c r="G434" t="inlineStr">
        <is>
          <t>ALVESTA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27731-2022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44743</v>
      </c>
      <c r="E435" s="1" t="n">
        <v>46278</v>
      </c>
      <c r="F435" t="inlineStr">
        <is>
          <t>KRONOBERGS LÄN</t>
        </is>
      </c>
      <c r="G435" t="inlineStr">
        <is>
          <t>ALVESTA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45153</v>
      </c>
      <c r="E436" s="1" t="n">
        <v>46278</v>
      </c>
      <c r="F436" t="inlineStr">
        <is>
          <t>KRONOBERGS LÄN</t>
        </is>
      </c>
      <c r="G436" t="inlineStr">
        <is>
          <t>ALVESTA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36627-2023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45153</v>
      </c>
      <c r="E437" s="1" t="n">
        <v>46278</v>
      </c>
      <c r="F437" t="inlineStr">
        <is>
          <t>KRONOBERGS LÄN</t>
        </is>
      </c>
      <c r="G437" t="inlineStr">
        <is>
          <t>ALVESTA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38899-2024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46278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54015-2023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45231</v>
      </c>
      <c r="E439" s="1" t="n">
        <v>46278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46278</v>
      </c>
      <c r="F440" t="inlineStr">
        <is>
          <t>KRONOBERGS LÄN</t>
        </is>
      </c>
      <c r="G440" t="inlineStr">
        <is>
          <t>ALVESTA</t>
        </is>
      </c>
      <c r="H440" t="inlineStr">
        <is>
          <t>Kommuner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46278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65094-2023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45288</v>
      </c>
      <c r="E442" s="1" t="n">
        <v>46278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2042-2024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46278</v>
      </c>
      <c r="F443" t="inlineStr">
        <is>
          <t>KRONOBERGS LÄN</t>
        </is>
      </c>
      <c r="G443" t="inlineStr">
        <is>
          <t>ALVESTA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46278</v>
      </c>
      <c r="F444" t="inlineStr">
        <is>
          <t>KRONOBERGS LÄN</t>
        </is>
      </c>
      <c r="G444" t="inlineStr">
        <is>
          <t>ALVESTA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25572-2026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46278</v>
      </c>
      <c r="F445" t="inlineStr">
        <is>
          <t>KRONOBERGS LÄN</t>
        </is>
      </c>
      <c r="G445" t="inlineStr">
        <is>
          <t>ALVESTA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45149</v>
      </c>
      <c r="E446" s="1" t="n">
        <v>46278</v>
      </c>
      <c r="F446" t="inlineStr">
        <is>
          <t>KRONOBERGS LÄN</t>
        </is>
      </c>
      <c r="G446" t="inlineStr">
        <is>
          <t>ALVESTA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39258-2023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46278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45135</v>
      </c>
      <c r="E448" s="1" t="n">
        <v>46278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45217</v>
      </c>
      <c r="E449" s="1" t="n">
        <v>46278</v>
      </c>
      <c r="F449" t="inlineStr">
        <is>
          <t>KRONOBERGS LÄN</t>
        </is>
      </c>
      <c r="G449" t="inlineStr">
        <is>
          <t>ALVESTA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45336</v>
      </c>
      <c r="E450" s="1" t="n">
        <v>46278</v>
      </c>
      <c r="F450" t="inlineStr">
        <is>
          <t>KRONOBERGS LÄN</t>
        </is>
      </c>
      <c r="G450" t="inlineStr">
        <is>
          <t>ALVESTA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46278</v>
      </c>
      <c r="F451" t="inlineStr">
        <is>
          <t>KRONOBERGS LÄN</t>
        </is>
      </c>
      <c r="G451" t="inlineStr">
        <is>
          <t>ALVESTA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45362</v>
      </c>
      <c r="E452" s="1" t="n">
        <v>46278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27032-2026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46185</v>
      </c>
      <c r="E453" s="1" t="n">
        <v>46278</v>
      </c>
      <c r="F453" t="inlineStr">
        <is>
          <t>KRONOBERGS LÄN</t>
        </is>
      </c>
      <c r="G453" t="inlineStr">
        <is>
          <t>ALVESTA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27077-2026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46186</v>
      </c>
      <c r="E454" s="1" t="n">
        <v>46278</v>
      </c>
      <c r="F454" t="inlineStr">
        <is>
          <t>KRONOBERGS LÄN</t>
        </is>
      </c>
      <c r="G454" t="inlineStr">
        <is>
          <t>ALVESTA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45330</v>
      </c>
      <c r="E455" s="1" t="n">
        <v>46278</v>
      </c>
      <c r="F455" t="inlineStr">
        <is>
          <t>KRONOBERGS LÄN</t>
        </is>
      </c>
      <c r="G455" t="inlineStr">
        <is>
          <t>ALVESTA</t>
        </is>
      </c>
      <c r="H455" t="inlineStr">
        <is>
          <t>Övriga Aktiebolag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44670</v>
      </c>
      <c r="E456" s="1" t="n">
        <v>46278</v>
      </c>
      <c r="F456" t="inlineStr">
        <is>
          <t>KRONOBERGS LÄN</t>
        </is>
      </c>
      <c r="G456" t="inlineStr">
        <is>
          <t>ALVESTA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45217</v>
      </c>
      <c r="E457" s="1" t="n">
        <v>46278</v>
      </c>
      <c r="F457" t="inlineStr">
        <is>
          <t>KRONOBERGS LÄN</t>
        </is>
      </c>
      <c r="G457" t="inlineStr">
        <is>
          <t>ALVESTA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25261-2024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45462</v>
      </c>
      <c r="E458" s="1" t="n">
        <v>46278</v>
      </c>
      <c r="F458" t="inlineStr">
        <is>
          <t>KRONOBERGS LÄN</t>
        </is>
      </c>
      <c r="G458" t="inlineStr">
        <is>
          <t>ALVESTA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46278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46278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62969-2023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45272</v>
      </c>
      <c r="E461" s="1" t="n">
        <v>46278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39307-2023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46278</v>
      </c>
      <c r="F462" t="inlineStr">
        <is>
          <t>KRONOBERGS LÄN</t>
        </is>
      </c>
      <c r="G462" t="inlineStr">
        <is>
          <t>ALVESTA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45740</v>
      </c>
      <c r="E463" s="1" t="n">
        <v>46278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45136</v>
      </c>
      <c r="E464" s="1" t="n">
        <v>46278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52061-2023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45216</v>
      </c>
      <c r="E465" s="1" t="n">
        <v>46278</v>
      </c>
      <c r="F465" t="inlineStr">
        <is>
          <t>KRONOBERGS LÄN</t>
        </is>
      </c>
      <c r="G465" t="inlineStr">
        <is>
          <t>ALVESTA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57121-2022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44895</v>
      </c>
      <c r="E466" s="1" t="n">
        <v>46278</v>
      </c>
      <c r="F466" t="inlineStr">
        <is>
          <t>KRONOBERGS LÄN</t>
        </is>
      </c>
      <c r="G466" t="inlineStr">
        <is>
          <t>ALVESTA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49407-2024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45595</v>
      </c>
      <c r="E467" s="1" t="n">
        <v>46278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46278</v>
      </c>
      <c r="F468" t="inlineStr">
        <is>
          <t>KRONOBERGS LÄN</t>
        </is>
      </c>
      <c r="G468" t="inlineStr">
        <is>
          <t>ALVESTA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46278</v>
      </c>
      <c r="F469" t="inlineStr">
        <is>
          <t>KRONOBERGS LÄN</t>
        </is>
      </c>
      <c r="G469" t="inlineStr">
        <is>
          <t>ALVESTA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46278</v>
      </c>
      <c r="F470" t="inlineStr">
        <is>
          <t>KRONOBERGS LÄN</t>
        </is>
      </c>
      <c r="G470" t="inlineStr">
        <is>
          <t>ALVESTA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42411-2023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45180</v>
      </c>
      <c r="E471" s="1" t="n">
        <v>46278</v>
      </c>
      <c r="F471" t="inlineStr">
        <is>
          <t>KRONOBERGS LÄN</t>
        </is>
      </c>
      <c r="G471" t="inlineStr">
        <is>
          <t>ALVESTA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46278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46278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44985</v>
      </c>
      <c r="E474" s="1" t="n">
        <v>46278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45532</v>
      </c>
      <c r="E475" s="1" t="n">
        <v>46278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45324</v>
      </c>
      <c r="E476" s="1" t="n">
        <v>46278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28235-2026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46278</v>
      </c>
      <c r="F477" t="inlineStr">
        <is>
          <t>KRONOBERGS LÄN</t>
        </is>
      </c>
      <c r="G477" t="inlineStr">
        <is>
          <t>ALVESTA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11912-2022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44635</v>
      </c>
      <c r="E478" s="1" t="n">
        <v>46278</v>
      </c>
      <c r="F478" t="inlineStr">
        <is>
          <t>KRONOBERGS LÄN</t>
        </is>
      </c>
      <c r="G478" t="inlineStr">
        <is>
          <t>ALVESTA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46278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44991</v>
      </c>
      <c r="E480" s="1" t="n">
        <v>46278</v>
      </c>
      <c r="F480" t="inlineStr">
        <is>
          <t>KRONOBERGS LÄN</t>
        </is>
      </c>
      <c r="G480" t="inlineStr">
        <is>
          <t>ALVESTA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46241</v>
      </c>
      <c r="E481" s="1" t="n">
        <v>46278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46278</v>
      </c>
      <c r="F482" t="inlineStr">
        <is>
          <t>KRONOBERGS LÄN</t>
        </is>
      </c>
      <c r="G482" t="inlineStr">
        <is>
          <t>ALVESTA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44935</v>
      </c>
      <c r="E483" s="1" t="n">
        <v>46278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46278</v>
      </c>
      <c r="F484" t="inlineStr">
        <is>
          <t>KRONOBERGS LÄN</t>
        </is>
      </c>
      <c r="G484" t="inlineStr">
        <is>
          <t>ALVESTA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46241</v>
      </c>
      <c r="E485" s="1" t="n">
        <v>46278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46278</v>
      </c>
      <c r="F486" t="inlineStr">
        <is>
          <t>KRONOBERGS LÄN</t>
        </is>
      </c>
      <c r="G486" t="inlineStr">
        <is>
          <t>ALVESTA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46241</v>
      </c>
      <c r="E487" s="1" t="n">
        <v>46278</v>
      </c>
      <c r="F487" t="inlineStr">
        <is>
          <t>KRONOBERGS LÄN</t>
        </is>
      </c>
      <c r="G487" t="inlineStr">
        <is>
          <t>ALVESTA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45336</v>
      </c>
      <c r="E488" s="1" t="n">
        <v>46278</v>
      </c>
      <c r="F488" t="inlineStr">
        <is>
          <t>KRONOBERGS LÄN</t>
        </is>
      </c>
      <c r="G488" t="inlineStr">
        <is>
          <t>ALVESTA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46241</v>
      </c>
      <c r="E489" s="1" t="n">
        <v>46278</v>
      </c>
      <c r="F489" t="inlineStr">
        <is>
          <t>KRONOBERGS LÄN</t>
        </is>
      </c>
      <c r="G489" t="inlineStr">
        <is>
          <t>ALVESTA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46278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45436</v>
      </c>
      <c r="E491" s="1" t="n">
        <v>46278</v>
      </c>
      <c r="F491" t="inlineStr">
        <is>
          <t>KRONOBERGS LÄN</t>
        </is>
      </c>
      <c r="G491" t="inlineStr">
        <is>
          <t>ALVESTA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46278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46278</v>
      </c>
      <c r="F493" t="inlineStr">
        <is>
          <t>KRONOBERGS LÄN</t>
        </is>
      </c>
      <c r="G493" t="inlineStr">
        <is>
          <t>ALVESTA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46278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46278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72318-2021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44545</v>
      </c>
      <c r="E496" s="1" t="n">
        <v>46278</v>
      </c>
      <c r="F496" t="inlineStr">
        <is>
          <t>KRONOBERGS LÄN</t>
        </is>
      </c>
      <c r="G496" t="inlineStr">
        <is>
          <t>ALVESTA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46246</v>
      </c>
      <c r="E497" s="1" t="n">
        <v>46278</v>
      </c>
      <c r="F497" t="inlineStr">
        <is>
          <t>KRONOBERGS LÄN</t>
        </is>
      </c>
      <c r="G497" t="inlineStr">
        <is>
          <t>ALVESTA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44938</v>
      </c>
      <c r="E498" s="1" t="n">
        <v>46278</v>
      </c>
      <c r="F498" t="inlineStr">
        <is>
          <t>KRONOBERGS LÄN</t>
        </is>
      </c>
      <c r="G498" t="inlineStr">
        <is>
          <t>ALVESTA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44948</v>
      </c>
      <c r="E499" s="1" t="n">
        <v>46278</v>
      </c>
      <c r="F499" t="inlineStr">
        <is>
          <t>KRONOBERGS LÄN</t>
        </is>
      </c>
      <c r="G499" t="inlineStr">
        <is>
          <t>ALVESTA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46278</v>
      </c>
      <c r="F500" t="inlineStr">
        <is>
          <t>KRONOBERGS LÄN</t>
        </is>
      </c>
      <c r="G500" t="inlineStr">
        <is>
          <t>ALVESTA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58268-2022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44901</v>
      </c>
      <c r="E501" s="1" t="n">
        <v>46278</v>
      </c>
      <c r="F501" t="inlineStr">
        <is>
          <t>KRONOBERGS LÄN</t>
        </is>
      </c>
      <c r="G501" t="inlineStr">
        <is>
          <t>ALVESTA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44657</v>
      </c>
      <c r="E502" s="1" t="n">
        <v>46278</v>
      </c>
      <c r="F502" t="inlineStr">
        <is>
          <t>KRONOBERGS LÄN</t>
        </is>
      </c>
      <c r="G502" t="inlineStr">
        <is>
          <t>ALVESTA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45385</v>
      </c>
      <c r="E503" s="1" t="n">
        <v>46278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46278</v>
      </c>
      <c r="F504" t="inlineStr">
        <is>
          <t>KRONOBERGS LÄN</t>
        </is>
      </c>
      <c r="G504" t="inlineStr">
        <is>
          <t>ALVESTA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29774-2026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46278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46278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46278</v>
      </c>
      <c r="F507" t="inlineStr">
        <is>
          <t>KRONOBERGS LÄN</t>
        </is>
      </c>
      <c r="G507" t="inlineStr">
        <is>
          <t>ALVESTA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46278</v>
      </c>
      <c r="F508" t="inlineStr">
        <is>
          <t>KRONOBERGS LÄN</t>
        </is>
      </c>
      <c r="G508" t="inlineStr">
        <is>
          <t>ALVESTA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46204</v>
      </c>
      <c r="E509" s="1" t="n">
        <v>46278</v>
      </c>
      <c r="F509" t="inlineStr">
        <is>
          <t>KRONOBERGS LÄN</t>
        </is>
      </c>
      <c r="G509" t="inlineStr">
        <is>
          <t>ALVESTA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44943</v>
      </c>
      <c r="E510" s="1" t="n">
        <v>46278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57118-2023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45245</v>
      </c>
      <c r="E511" s="1" t="n">
        <v>46278</v>
      </c>
      <c r="F511" t="inlineStr">
        <is>
          <t>KRONOBERGS LÄN</t>
        </is>
      </c>
      <c r="G511" t="inlineStr">
        <is>
          <t>ALVESTA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46209</v>
      </c>
      <c r="E512" s="1" t="n">
        <v>46278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44935</v>
      </c>
      <c r="E513" s="1" t="n">
        <v>46278</v>
      </c>
      <c r="F513" t="inlineStr">
        <is>
          <t>KRONOBERGS LÄN</t>
        </is>
      </c>
      <c r="G513" t="inlineStr">
        <is>
          <t>ALVESTA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56552-2021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44480</v>
      </c>
      <c r="E514" s="1" t="n">
        <v>46278</v>
      </c>
      <c r="F514" t="inlineStr">
        <is>
          <t>KRONOBERGS LÄN</t>
        </is>
      </c>
      <c r="G514" t="inlineStr">
        <is>
          <t>ALVESTA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46278</v>
      </c>
      <c r="F515" t="inlineStr">
        <is>
          <t>KRONOBERGS LÄN</t>
        </is>
      </c>
      <c r="G515" t="inlineStr">
        <is>
          <t>ALVESTA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44914</v>
      </c>
      <c r="E516" s="1" t="n">
        <v>46278</v>
      </c>
      <c r="F516" t="inlineStr">
        <is>
          <t>KRONOBERGS LÄN</t>
        </is>
      </c>
      <c r="G516" t="inlineStr">
        <is>
          <t>ALVESTA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45678</v>
      </c>
      <c r="E517" s="1" t="n">
        <v>46278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46206</v>
      </c>
      <c r="E518" s="1" t="n">
        <v>46278</v>
      </c>
      <c r="F518" t="inlineStr">
        <is>
          <t>KRONOBERGS LÄN</t>
        </is>
      </c>
      <c r="G518" t="inlineStr">
        <is>
          <t>ALVESTA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46278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45596</v>
      </c>
      <c r="E520" s="1" t="n">
        <v>46278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13369-2023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45005</v>
      </c>
      <c r="E521" s="1" t="n">
        <v>46278</v>
      </c>
      <c r="F521" t="inlineStr">
        <is>
          <t>KRONOBERGS LÄN</t>
        </is>
      </c>
      <c r="G521" t="inlineStr">
        <is>
          <t>ALVESTA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45196</v>
      </c>
      <c r="E522" s="1" t="n">
        <v>46278</v>
      </c>
      <c r="F522" t="inlineStr">
        <is>
          <t>KRONOBERGS LÄN</t>
        </is>
      </c>
      <c r="G522" t="inlineStr">
        <is>
          <t>ALVESTA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44687</v>
      </c>
      <c r="E523" s="1" t="n">
        <v>46278</v>
      </c>
      <c r="F523" t="inlineStr">
        <is>
          <t>KRONOBERGS LÄN</t>
        </is>
      </c>
      <c r="G523" t="inlineStr">
        <is>
          <t>ALVESTA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45146</v>
      </c>
      <c r="E524" s="1" t="n">
        <v>46278</v>
      </c>
      <c r="F524" t="inlineStr">
        <is>
          <t>KRONOBERGS LÄN</t>
        </is>
      </c>
      <c r="G524" t="inlineStr">
        <is>
          <t>ALVESTA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46278</v>
      </c>
      <c r="F525" t="inlineStr">
        <is>
          <t>KRONOBERGS LÄN</t>
        </is>
      </c>
      <c r="G525" t="inlineStr">
        <is>
          <t>ALVESTA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65092-2023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45288</v>
      </c>
      <c r="E526" s="1" t="n">
        <v>46278</v>
      </c>
      <c r="F526" t="inlineStr">
        <is>
          <t>KRONOBERGS LÄN</t>
        </is>
      </c>
      <c r="G526" t="inlineStr">
        <is>
          <t>ALVESTA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46278</v>
      </c>
      <c r="F527" t="inlineStr">
        <is>
          <t>KRONOBERGS LÄN</t>
        </is>
      </c>
      <c r="G527" t="inlineStr">
        <is>
          <t>ALVESTA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46278</v>
      </c>
      <c r="F528" t="inlineStr">
        <is>
          <t>KRONOBERGS LÄN</t>
        </is>
      </c>
      <c r="G528" t="inlineStr">
        <is>
          <t>ALVESTA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46278</v>
      </c>
      <c r="F529" t="inlineStr">
        <is>
          <t>KRONOBERGS LÄN</t>
        </is>
      </c>
      <c r="G529" t="inlineStr">
        <is>
          <t>ALVESTA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45407</v>
      </c>
      <c r="E530" s="1" t="n">
        <v>46278</v>
      </c>
      <c r="F530" t="inlineStr">
        <is>
          <t>KRONOBERGS LÄN</t>
        </is>
      </c>
      <c r="G530" t="inlineStr">
        <is>
          <t>ALVESTA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46278</v>
      </c>
      <c r="F531" t="inlineStr">
        <is>
          <t>KRONOBERGS LÄN</t>
        </is>
      </c>
      <c r="G531" t="inlineStr">
        <is>
          <t>ALVESTA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46278</v>
      </c>
      <c r="F532" t="inlineStr">
        <is>
          <t>KRONOBERGS LÄN</t>
        </is>
      </c>
      <c r="G532" t="inlineStr">
        <is>
          <t>ALVESTA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29579-2022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44754</v>
      </c>
      <c r="E533" s="1" t="n">
        <v>46278</v>
      </c>
      <c r="F533" t="inlineStr">
        <is>
          <t>KRONOBERGS LÄN</t>
        </is>
      </c>
      <c r="G533" t="inlineStr">
        <is>
          <t>ALVESTA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45210</v>
      </c>
      <c r="E534" s="1" t="n">
        <v>46278</v>
      </c>
      <c r="F534" t="inlineStr">
        <is>
          <t>KRONOBERGS LÄN</t>
        </is>
      </c>
      <c r="G534" t="inlineStr">
        <is>
          <t>ALVESTA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45128</v>
      </c>
      <c r="E535" s="1" t="n">
        <v>46278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46278</v>
      </c>
      <c r="F536" t="inlineStr">
        <is>
          <t>KRONOBERGS LÄN</t>
        </is>
      </c>
      <c r="G536" t="inlineStr">
        <is>
          <t>ALVESTA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45692</v>
      </c>
      <c r="E537" s="1" t="n">
        <v>46278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46278</v>
      </c>
      <c r="F538" t="inlineStr">
        <is>
          <t>KRONOBERGS LÄN</t>
        </is>
      </c>
      <c r="G538" t="inlineStr">
        <is>
          <t>ALVESTA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40366-2023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45169</v>
      </c>
      <c r="E539" s="1" t="n">
        <v>46278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44998</v>
      </c>
      <c r="E540" s="1" t="n">
        <v>46278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25598-2023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45089</v>
      </c>
      <c r="E541" s="1" t="n">
        <v>46278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46278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46278</v>
      </c>
      <c r="F543" t="inlineStr">
        <is>
          <t>KRONOBERGS LÄN</t>
        </is>
      </c>
      <c r="G543" t="inlineStr">
        <is>
          <t>ALVESTA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5982-2024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45336</v>
      </c>
      <c r="E544" s="1" t="n">
        <v>46278</v>
      </c>
      <c r="F544" t="inlineStr">
        <is>
          <t>KRONOBERGS LÄN</t>
        </is>
      </c>
      <c r="G544" t="inlineStr">
        <is>
          <t>ALVESTA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46278</v>
      </c>
      <c r="F545" t="inlineStr">
        <is>
          <t>KRONOBERGS LÄN</t>
        </is>
      </c>
      <c r="G545" t="inlineStr">
        <is>
          <t>ALVESTA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20180-2023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45055</v>
      </c>
      <c r="E546" s="1" t="n">
        <v>46278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45105</v>
      </c>
      <c r="E547" s="1" t="n">
        <v>46278</v>
      </c>
      <c r="F547" t="inlineStr">
        <is>
          <t>KRONOBERGS LÄN</t>
        </is>
      </c>
      <c r="G547" t="inlineStr">
        <is>
          <t>ALVESTA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58641-2024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45635</v>
      </c>
      <c r="E548" s="1" t="n">
        <v>46278</v>
      </c>
      <c r="F548" t="inlineStr">
        <is>
          <t>KRONOBERGS LÄN</t>
        </is>
      </c>
      <c r="G548" t="inlineStr">
        <is>
          <t>ALVESTA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45032</v>
      </c>
      <c r="E549" s="1" t="n">
        <v>46278</v>
      </c>
      <c r="F549" t="inlineStr">
        <is>
          <t>KRONOBERGS LÄN</t>
        </is>
      </c>
      <c r="G549" t="inlineStr">
        <is>
          <t>ALVESTA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49600-2024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45596</v>
      </c>
      <c r="E550" s="1" t="n">
        <v>46278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46278</v>
      </c>
      <c r="F551" t="inlineStr">
        <is>
          <t>KRONOBERGS LÄN</t>
        </is>
      </c>
      <c r="G551" t="inlineStr">
        <is>
          <t>ALVESTA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46278</v>
      </c>
      <c r="F552" t="inlineStr">
        <is>
          <t>KRONOBERGS LÄN</t>
        </is>
      </c>
      <c r="G552" t="inlineStr">
        <is>
          <t>ALVESTA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9822-2022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44620</v>
      </c>
      <c r="E553" s="1" t="n">
        <v>46278</v>
      </c>
      <c r="F553" t="inlineStr">
        <is>
          <t>KRONOBERGS LÄN</t>
        </is>
      </c>
      <c r="G553" t="inlineStr">
        <is>
          <t>ALVESTA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46269</v>
      </c>
      <c r="E554" s="1" t="n">
        <v>46278</v>
      </c>
      <c r="F554" t="inlineStr">
        <is>
          <t>KRONOBERGS LÄN</t>
        </is>
      </c>
      <c r="G554" t="inlineStr">
        <is>
          <t>ALVESTA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45362</v>
      </c>
      <c r="E555" s="1" t="n">
        <v>46278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60559-2022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44911</v>
      </c>
      <c r="E556" s="1" t="n">
        <v>46278</v>
      </c>
      <c r="F556" t="inlineStr">
        <is>
          <t>KRONOBERGS LÄN</t>
        </is>
      </c>
      <c r="G556" t="inlineStr">
        <is>
          <t>ALVESTA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46278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45544</v>
      </c>
      <c r="E558" s="1" t="n">
        <v>46278</v>
      </c>
      <c r="F558" t="inlineStr">
        <is>
          <t>KRONOBERGS LÄN</t>
        </is>
      </c>
      <c r="G558" t="inlineStr">
        <is>
          <t>ALVESTA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8781-2023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44978</v>
      </c>
      <c r="E559" s="1" t="n">
        <v>46278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44994</v>
      </c>
      <c r="E560" s="1" t="n">
        <v>46278</v>
      </c>
      <c r="F560" t="inlineStr">
        <is>
          <t>KRONOBERGS LÄN</t>
        </is>
      </c>
      <c r="G560" t="inlineStr">
        <is>
          <t>ALVESTA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46278</v>
      </c>
      <c r="F561" t="inlineStr">
        <is>
          <t>KRONOBERGS LÄN</t>
        </is>
      </c>
      <c r="G561" t="inlineStr">
        <is>
          <t>ALVESTA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46278</v>
      </c>
      <c r="F562" t="inlineStr">
        <is>
          <t>KRONOBERGS LÄN</t>
        </is>
      </c>
      <c r="G562" t="inlineStr">
        <is>
          <t>ALVESTA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46278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45530</v>
      </c>
      <c r="E564" s="1" t="n">
        <v>46278</v>
      </c>
      <c r="F564" t="inlineStr">
        <is>
          <t>KRONOBERGS LÄN</t>
        </is>
      </c>
      <c r="G564" t="inlineStr">
        <is>
          <t>ALVESTA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46278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12260-2023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44998</v>
      </c>
      <c r="E566" s="1" t="n">
        <v>46278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46278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46278</v>
      </c>
      <c r="F568" t="inlineStr">
        <is>
          <t>KRONOBERGS LÄN</t>
        </is>
      </c>
      <c r="G568" t="inlineStr">
        <is>
          <t>ALVESTA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46278</v>
      </c>
      <c r="F569" t="inlineStr">
        <is>
          <t>KRONOBERGS LÄN</t>
        </is>
      </c>
      <c r="G569" t="inlineStr">
        <is>
          <t>ALVESTA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45358</v>
      </c>
      <c r="E570" s="1" t="n">
        <v>46278</v>
      </c>
      <c r="F570" t="inlineStr">
        <is>
          <t>KRONOBERGS LÄN</t>
        </is>
      </c>
      <c r="G570" t="inlineStr">
        <is>
          <t>ALVESTA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44958</v>
      </c>
      <c r="E571" s="1" t="n">
        <v>46278</v>
      </c>
      <c r="F571" t="inlineStr">
        <is>
          <t>KRONOBERGS LÄN</t>
        </is>
      </c>
      <c r="G571" t="inlineStr">
        <is>
          <t>ALVESTA</t>
        </is>
      </c>
      <c r="H571" t="inlineStr">
        <is>
          <t>Kommuner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45043</v>
      </c>
      <c r="E572" s="1" t="n">
        <v>46278</v>
      </c>
      <c r="F572" t="inlineStr">
        <is>
          <t>KRONOBERGS LÄN</t>
        </is>
      </c>
      <c r="G572" t="inlineStr">
        <is>
          <t>ALVESTA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46278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45418</v>
      </c>
      <c r="E574" s="1" t="n">
        <v>46278</v>
      </c>
      <c r="F574" t="inlineStr">
        <is>
          <t>KRONOBERGS LÄN</t>
        </is>
      </c>
      <c r="G574" t="inlineStr">
        <is>
          <t>ALVESTA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46278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31121-2023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45113</v>
      </c>
      <c r="E576" s="1" t="n">
        <v>46278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12917-2024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45385</v>
      </c>
      <c r="E577" s="1" t="n">
        <v>46278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54116-2024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45616</v>
      </c>
      <c r="E578" s="1" t="n">
        <v>46278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45700</v>
      </c>
      <c r="E579" s="1" t="n">
        <v>46278</v>
      </c>
      <c r="F579" t="inlineStr">
        <is>
          <t>KRONOBERGS LÄN</t>
        </is>
      </c>
      <c r="G579" t="inlineStr">
        <is>
          <t>ALVESTA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45407</v>
      </c>
      <c r="E580" s="1" t="n">
        <v>46278</v>
      </c>
      <c r="F580" t="inlineStr">
        <is>
          <t>KRONOBERGS LÄN</t>
        </is>
      </c>
      <c r="G580" t="inlineStr">
        <is>
          <t>ALVESTA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17790-2024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45418</v>
      </c>
      <c r="E581" s="1" t="n">
        <v>46278</v>
      </c>
      <c r="F581" t="inlineStr">
        <is>
          <t>KRONOBERGS LÄN</t>
        </is>
      </c>
      <c r="G581" t="inlineStr">
        <is>
          <t>ALVESTA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46278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45790</v>
      </c>
      <c r="E583" s="1" t="n">
        <v>46278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45456</v>
      </c>
      <c r="E584" s="1" t="n">
        <v>46278</v>
      </c>
      <c r="F584" t="inlineStr">
        <is>
          <t>KRONOBERGS LÄN</t>
        </is>
      </c>
      <c r="G584" t="inlineStr">
        <is>
          <t>ALVESTA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7464-2025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45705</v>
      </c>
      <c r="E585" s="1" t="n">
        <v>46278</v>
      </c>
      <c r="F585" t="inlineStr">
        <is>
          <t>KRONOBERGS LÄN</t>
        </is>
      </c>
      <c r="G585" t="inlineStr">
        <is>
          <t>ALVESTA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46278</v>
      </c>
      <c r="F586" t="inlineStr">
        <is>
          <t>KRONOBERGS LÄN</t>
        </is>
      </c>
      <c r="G586" t="inlineStr">
        <is>
          <t>ALVESTA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45544</v>
      </c>
      <c r="E587" s="1" t="n">
        <v>46278</v>
      </c>
      <c r="F587" t="inlineStr">
        <is>
          <t>KRONOBERGS LÄN</t>
        </is>
      </c>
      <c r="G587" t="inlineStr">
        <is>
          <t>ALVESTA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25220-2025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45798</v>
      </c>
      <c r="E588" s="1" t="n">
        <v>46278</v>
      </c>
      <c r="F588" t="inlineStr">
        <is>
          <t>KRONOBERGS LÄN</t>
        </is>
      </c>
      <c r="G588" t="inlineStr">
        <is>
          <t>ALVESTA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45015</v>
      </c>
      <c r="E589" s="1" t="n">
        <v>46278</v>
      </c>
      <c r="F589" t="inlineStr">
        <is>
          <t>KRONOBERGS LÄN</t>
        </is>
      </c>
      <c r="G589" t="inlineStr">
        <is>
          <t>ALVESTA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45418</v>
      </c>
      <c r="E590" s="1" t="n">
        <v>46278</v>
      </c>
      <c r="F590" t="inlineStr">
        <is>
          <t>KRONOBERGS LÄN</t>
        </is>
      </c>
      <c r="G590" t="inlineStr">
        <is>
          <t>ALVESTA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13896-2024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45391</v>
      </c>
      <c r="E591" s="1" t="n">
        <v>46278</v>
      </c>
      <c r="F591" t="inlineStr">
        <is>
          <t>KRONOBERGS LÄN</t>
        </is>
      </c>
      <c r="G591" t="inlineStr">
        <is>
          <t>ALVESTA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59052-2021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44490</v>
      </c>
      <c r="E592" s="1" t="n">
        <v>46278</v>
      </c>
      <c r="F592" t="inlineStr">
        <is>
          <t>KRONOBERGS LÄN</t>
        </is>
      </c>
      <c r="G592" t="inlineStr">
        <is>
          <t>ALVESTA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45518</v>
      </c>
      <c r="E593" s="1" t="n">
        <v>46278</v>
      </c>
      <c r="F593" t="inlineStr">
        <is>
          <t>KRONOBERGS LÄN</t>
        </is>
      </c>
      <c r="G593" t="inlineStr">
        <is>
          <t>ALVESTA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5522-2023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44957</v>
      </c>
      <c r="E594" s="1" t="n">
        <v>46278</v>
      </c>
      <c r="F594" t="inlineStr">
        <is>
          <t>KRONOBERGS LÄN</t>
        </is>
      </c>
      <c r="G594" t="inlineStr">
        <is>
          <t>ALVESTA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45362</v>
      </c>
      <c r="E595" s="1" t="n">
        <v>46278</v>
      </c>
      <c r="F595" t="inlineStr">
        <is>
          <t>KRONOBERGS LÄN</t>
        </is>
      </c>
      <c r="G595" t="inlineStr">
        <is>
          <t>ALVESTA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45800</v>
      </c>
      <c r="E596" s="1" t="n">
        <v>46278</v>
      </c>
      <c r="F596" t="inlineStr">
        <is>
          <t>KRONOBERGS LÄN</t>
        </is>
      </c>
      <c r="G596" t="inlineStr">
        <is>
          <t>ALVESTA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6489-2022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44601</v>
      </c>
      <c r="E597" s="1" t="n">
        <v>46278</v>
      </c>
      <c r="F597" t="inlineStr">
        <is>
          <t>KRONOBERGS LÄN</t>
        </is>
      </c>
      <c r="G597" t="inlineStr">
        <is>
          <t>ALVESTA</t>
        </is>
      </c>
      <c r="I597" t="n">
        <v>0.1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21438-2025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45782</v>
      </c>
      <c r="E598" s="1" t="n">
        <v>46278</v>
      </c>
      <c r="F598" t="inlineStr">
        <is>
          <t>KRONOBERGS LÄN</t>
        </is>
      </c>
      <c r="G598" t="inlineStr">
        <is>
          <t>ALVESTA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38765-2022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44816</v>
      </c>
      <c r="E599" s="1" t="n">
        <v>46278</v>
      </c>
      <c r="F599" t="inlineStr">
        <is>
          <t>KRONOBERGS LÄN</t>
        </is>
      </c>
      <c r="G599" t="inlineStr">
        <is>
          <t>ALVESTA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45476</v>
      </c>
      <c r="E600" s="1" t="n">
        <v>46278</v>
      </c>
      <c r="F600" t="inlineStr">
        <is>
          <t>KRONOBERGS LÄN</t>
        </is>
      </c>
      <c r="G600" t="inlineStr">
        <is>
          <t>ALVESTA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46278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46278</v>
      </c>
      <c r="F602" t="inlineStr">
        <is>
          <t>KRONOBERGS LÄN</t>
        </is>
      </c>
      <c r="G602" t="inlineStr">
        <is>
          <t>ALVESTA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45811</v>
      </c>
      <c r="E603" s="1" t="n">
        <v>46278</v>
      </c>
      <c r="F603" t="inlineStr">
        <is>
          <t>KRONOBERGS LÄN</t>
        </is>
      </c>
      <c r="G603" t="inlineStr">
        <is>
          <t>ALVESTA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46278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46278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46278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46278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46278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46278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46278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46278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46278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46278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46278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46278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46278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46278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46278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46278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46278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46278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46278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46278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46278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46278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46278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46278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46278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46278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46278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46278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46278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46278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46278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2026-09-13T02:12:59Z</dcterms:created>
  <dcterms:modified xmlns:dcterms="http://purl.org/dc/terms/" xmlns:xsi="http://www.w3.org/2001/XMLSchema-instance" xsi:type="dcterms:W3CDTF">2026-09-13T02:13:00Z</dcterms:modified>
</cp:coreProperties>
</file>