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46326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46326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46326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46326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46326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S 837-2026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46105</v>
      </c>
      <c r="E7" s="1" t="n">
        <v>46326</v>
      </c>
      <c r="F7" t="inlineStr">
        <is>
          <t>KRONOBERGS LÄN</t>
        </is>
      </c>
      <c r="G7" t="inlineStr">
        <is>
          <t>ALVESTA</t>
        </is>
      </c>
      <c r="I7" t="n">
        <v>4.3</v>
      </c>
      <c r="J7" t="n">
        <v>2</v>
      </c>
      <c r="K7" t="n">
        <v>2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8</v>
      </c>
      <c r="U7" t="n">
        <v>0</v>
      </c>
      <c r="V7" s="2" t="inlineStr">
        <is>
          <t>Skogsalm
Gullpudra
Kandelabersvamp
Sommarfibbla
Småskölding
Tvåblad
Lopplummer (aggregat)</t>
        </is>
      </c>
      <c r="W7">
        <f>HYPERLINK("https://klasma.github.io/Logging_0764/artfynd/S 837-2026 artfynd.xlsx", "S 837-2026")</f>
        <v/>
      </c>
      <c r="X7">
        <f>HYPERLINK("https://klasma.github.io/Logging_0764/kartor/S 837-2026 karta.png", "S 837-2026")</f>
        <v/>
      </c>
      <c r="Y7">
        <f>HYPERLINK("https://klasma.github.io/Logging_0764/kartor_geotiff/S 837-2026 georefererad karta.tif", "S 837-2026")</f>
        <v/>
      </c>
      <c r="AA7">
        <f>HYPERLINK("https://klasma.github.io/Logging_0764/klagomål/S 837-2026 FSC-klagomål.docx", "S 837-2026")</f>
        <v/>
      </c>
      <c r="AB7">
        <f>HYPERLINK("https://klasma.github.io/Logging_0764/klagomålsmail/S 837-2026 FSC-klagomål mail.docx", "S 837-2026")</f>
        <v/>
      </c>
      <c r="AC7">
        <f>HYPERLINK("https://klasma.github.io/Logging_0764/tillsyn/S 837-2026 tillsynsbegäran.docx", "S 837-2026")</f>
        <v/>
      </c>
      <c r="AD7">
        <f>HYPERLINK("https://klasma.github.io/Logging_0764/tillsynsmail/S 837-2026 tillsynsbegäran mail.docx", "S 837-2026")</f>
        <v/>
      </c>
    </row>
    <row r="8" ht="15" customHeight="1">
      <c r="A8" t="inlineStr">
        <is>
          <t>A 59538-2024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46326</v>
      </c>
      <c r="F8" t="inlineStr">
        <is>
          <t>KRONOBERGS LÄN</t>
        </is>
      </c>
      <c r="G8" t="inlineStr">
        <is>
          <t>ALVESTA</t>
        </is>
      </c>
      <c r="I8" t="n">
        <v>2.2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Nordfladdermus
Dvärgpipistrell
Större brunfladdermus
Trollpipistrell
Vattenfladdermus</t>
        </is>
      </c>
      <c r="W8">
        <f>HYPERLINK("https://klasma.github.io/Logging_0764/artfynd/A 59538-2024 artfynd.xlsx", "A 59538-2024")</f>
        <v/>
      </c>
      <c r="X8">
        <f>HYPERLINK("https://klasma.github.io/Logging_0764/kartor/A 59538-2024 karta.png", "A 59538-2024")</f>
        <v/>
      </c>
      <c r="Y8">
        <f>HYPERLINK("https://klasma.github.io/Logging_0764/kartor_geotiff/A 59538-2024 georefererad karta.tif", "A 59538-2024")</f>
        <v/>
      </c>
      <c r="AA8">
        <f>HYPERLINK("https://klasma.github.io/Logging_0764/klagomål/A 59538-2024 FSC-klagomål.docx", "A 59538-2024")</f>
        <v/>
      </c>
      <c r="AB8">
        <f>HYPERLINK("https://klasma.github.io/Logging_0764/klagomålsmail/A 59538-2024 FSC-klagomål mail.docx", "A 59538-2024")</f>
        <v/>
      </c>
      <c r="AC8">
        <f>HYPERLINK("https://klasma.github.io/Logging_0764/tillsyn/A 59538-2024 tillsynsbegäran.docx", "A 59538-2024")</f>
        <v/>
      </c>
      <c r="AD8">
        <f>HYPERLINK("https://klasma.github.io/Logging_0764/tillsynsmail/A 59538-2024 tillsynsbegäran mail.docx", "A 59538-2024")</f>
        <v/>
      </c>
    </row>
    <row r="9" ht="15" customHeight="1">
      <c r="A9" t="inlineStr">
        <is>
          <t>S 488-2025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46326</v>
      </c>
      <c r="F9" t="inlineStr">
        <is>
          <t>KRONOBERGS LÄN</t>
        </is>
      </c>
      <c r="G9" t="inlineStr">
        <is>
          <t>ALVESTA</t>
        </is>
      </c>
      <c r="I9" t="n">
        <v>70.09999999999999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0</v>
      </c>
      <c r="V9" s="2" t="inlineStr">
        <is>
          <t>Talltita
Trubbfjädermossa
Blåsippa
Grönsiska
Kungsfågel</t>
        </is>
      </c>
      <c r="W9">
        <f>HYPERLINK("https://klasma.github.io/Logging_0764/artfynd/S 488-2025 artfynd.xlsx", "S 488-2025")</f>
        <v/>
      </c>
      <c r="X9">
        <f>HYPERLINK("https://klasma.github.io/Logging_0764/kartor/S 488-2025 karta.png", "S 488-2025")</f>
        <v/>
      </c>
      <c r="Y9">
        <f>HYPERLINK("https://klasma.github.io/Logging_0764/kartor_geotiff/S 488-2025 georefererad karta.tif", "S 488-2025")</f>
        <v/>
      </c>
      <c r="AA9">
        <f>HYPERLINK("https://klasma.github.io/Logging_0764/klagomål/S 488-2025 FSC-klagomål.docx", "S 488-2025")</f>
        <v/>
      </c>
      <c r="AB9">
        <f>HYPERLINK("https://klasma.github.io/Logging_0764/klagomålsmail/S 488-2025 FSC-klagomål mail.docx", "S 488-2025")</f>
        <v/>
      </c>
      <c r="AC9">
        <f>HYPERLINK("https://klasma.github.io/Logging_0764/tillsyn/S 488-2025 tillsynsbegäran.docx", "S 488-2025")</f>
        <v/>
      </c>
      <c r="AD9">
        <f>HYPERLINK("https://klasma.github.io/Logging_0764/tillsynsmail/S 488-2025 tillsynsbegäran mail.docx", "S 488-2025")</f>
        <v/>
      </c>
      <c r="AE9">
        <f>HYPERLINK("https://klasma.github.io/Logging_0764/fåglar/S 488-2025 prioriterade fågelarter.docx", "S 488-2025")</f>
        <v/>
      </c>
    </row>
    <row r="10" ht="15" customHeight="1">
      <c r="A10" t="inlineStr">
        <is>
          <t>A 41349-2024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45559</v>
      </c>
      <c r="E10" s="1" t="n">
        <v>46326</v>
      </c>
      <c r="F10" t="inlineStr">
        <is>
          <t>KRONOBERGS LÄN</t>
        </is>
      </c>
      <c r="G10" t="inlineStr">
        <is>
          <t>ALVESTA</t>
        </is>
      </c>
      <c r="I10" t="n">
        <v>6.1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Järnsparv
Talltita
Kungsfågel
Ärtsångare</t>
        </is>
      </c>
      <c r="W10">
        <f>HYPERLINK("https://klasma.github.io/Logging_0764/artfynd/A 41349-2024 artfynd.xlsx", "A 41349-2024")</f>
        <v/>
      </c>
      <c r="X10">
        <f>HYPERLINK("https://klasma.github.io/Logging_0764/kartor/A 41349-2024 karta.png", "A 41349-2024")</f>
        <v/>
      </c>
      <c r="Y10">
        <f>HYPERLINK("https://klasma.github.io/Logging_0764/kartor_geotiff/A 41349-2024 georefererad karta.tif", "A 41349-2024")</f>
        <v/>
      </c>
      <c r="AA10">
        <f>HYPERLINK("https://klasma.github.io/Logging_0764/klagomål/A 41349-2024 FSC-klagomål.docx", "A 41349-2024")</f>
        <v/>
      </c>
      <c r="AB10">
        <f>HYPERLINK("https://klasma.github.io/Logging_0764/klagomålsmail/A 41349-2024 FSC-klagomål mail.docx", "A 41349-2024")</f>
        <v/>
      </c>
      <c r="AC10">
        <f>HYPERLINK("https://klasma.github.io/Logging_0764/tillsyn/A 41349-2024 tillsynsbegäran.docx", "A 41349-2024")</f>
        <v/>
      </c>
      <c r="AD10">
        <f>HYPERLINK("https://klasma.github.io/Logging_0764/tillsynsmail/A 41349-2024 tillsynsbegäran mail.docx", "A 41349-2024")</f>
        <v/>
      </c>
      <c r="AE10">
        <f>HYPERLINK("https://klasma.github.io/Logging_0764/fåglar/A 41349-2024 prioriterade fågelarter.docx", "A 41349-2024")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46326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S 7070-2022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44907</v>
      </c>
      <c r="E12" s="1" t="n">
        <v>46326</v>
      </c>
      <c r="F12" t="inlineStr">
        <is>
          <t>KRONOBERGS LÄN</t>
        </is>
      </c>
      <c r="G12" t="inlineStr">
        <is>
          <t>ALVESTA</t>
        </is>
      </c>
      <c r="I12" t="n">
        <v>65.2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Nordfladdermus
Dvärgpipistrell
Orre
Större brunfladdermus</t>
        </is>
      </c>
      <c r="W12">
        <f>HYPERLINK("https://klasma.github.io/Logging_0764/artfynd/S 7070-2022 artfynd.xlsx", "S 7070-2022")</f>
        <v/>
      </c>
      <c r="X12">
        <f>HYPERLINK("https://klasma.github.io/Logging_0764/kartor/S 7070-2022 karta.png", "S 7070-2022")</f>
        <v/>
      </c>
      <c r="Y12">
        <f>HYPERLINK("https://klasma.github.io/Logging_0764/kartor_geotiff/S 7070-2022 georefererad karta.tif", "S 7070-2022")</f>
        <v/>
      </c>
      <c r="AA12">
        <f>HYPERLINK("https://klasma.github.io/Logging_0764/klagomål/S 7070-2022 FSC-klagomål.docx", "S 7070-2022")</f>
        <v/>
      </c>
      <c r="AB12">
        <f>HYPERLINK("https://klasma.github.io/Logging_0764/klagomålsmail/S 7070-2022 FSC-klagomål mail.docx", "S 7070-2022")</f>
        <v/>
      </c>
      <c r="AC12">
        <f>HYPERLINK("https://klasma.github.io/Logging_0764/tillsyn/S 7070-2022 tillsynsbegäran.docx", "S 7070-2022")</f>
        <v/>
      </c>
      <c r="AD12">
        <f>HYPERLINK("https://klasma.github.io/Logging_0764/tillsynsmail/S 7070-2022 tillsynsbegäran mail.docx", "S 7070-2022")</f>
        <v/>
      </c>
      <c r="AE12">
        <f>HYPERLINK("https://klasma.github.io/Logging_0764/fåglar/S 7070-2022 prioriterade fågelarter.docx", "S 7070-2022")</f>
        <v/>
      </c>
    </row>
    <row r="13" ht="15" customHeight="1">
      <c r="A13" t="inlineStr">
        <is>
          <t>A 18207-2023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45041</v>
      </c>
      <c r="E13" s="1" t="n">
        <v>46326</v>
      </c>
      <c r="F13" t="inlineStr">
        <is>
          <t>KRONOBERGS LÄN</t>
        </is>
      </c>
      <c r="G13" t="inlineStr">
        <is>
          <t>ALVESTA</t>
        </is>
      </c>
      <c r="I13" t="n">
        <v>2.1</v>
      </c>
      <c r="J13" t="n">
        <v>0</v>
      </c>
      <c r="K13" t="n">
        <v>0</v>
      </c>
      <c r="L13" t="n">
        <v>0</v>
      </c>
      <c r="M13" t="n">
        <v>2</v>
      </c>
      <c r="N13" t="n">
        <v>1</v>
      </c>
      <c r="O13" t="n">
        <v>0</v>
      </c>
      <c r="P13" t="n">
        <v>0</v>
      </c>
      <c r="Q13" t="n">
        <v>3</v>
      </c>
      <c r="R13" t="n">
        <v>3</v>
      </c>
      <c r="S13" t="n">
        <v>3</v>
      </c>
      <c r="T13" t="n">
        <v>5</v>
      </c>
      <c r="U13" t="n">
        <v>4</v>
      </c>
      <c r="V13" s="2" t="inlineStr">
        <is>
          <t>Ask
Gulvit blekspik
Liten blekspik</t>
        </is>
      </c>
      <c r="W13">
        <f>HYPERLINK("https://klasma.github.io/Logging_0764/artfynd/A 18207-2023 artfynd.xlsx", "A 18207-2023")</f>
        <v/>
      </c>
      <c r="X13">
        <f>HYPERLINK("https://klasma.github.io/Logging_0764/kartor/A 18207-2023 karta.png", "A 18207-2023")</f>
        <v/>
      </c>
      <c r="Y13">
        <f>HYPERLINK("https://klasma.github.io/Logging_0764/kartor_geotiff/A 18207-2023 georefererad karta.tif", "A 18207-2023")</f>
        <v/>
      </c>
      <c r="AA13">
        <f>HYPERLINK("https://klasma.github.io/Logging_0764/klagomål/A 18207-2023 FSC-klagomål.docx", "A 18207-2023")</f>
        <v/>
      </c>
      <c r="AB13">
        <f>HYPERLINK("https://klasma.github.io/Logging_0764/klagomålsmail/A 18207-2023 FSC-klagomål mail.docx", "A 18207-2023")</f>
        <v/>
      </c>
      <c r="AC13">
        <f>HYPERLINK("https://klasma.github.io/Logging_0764/tillsyn/A 18207-2023 tillsynsbegäran.docx", "A 18207-2023")</f>
        <v/>
      </c>
      <c r="AD13">
        <f>HYPERLINK("https://klasma.github.io/Logging_0764/tillsynsmail/A 18207-2023 tillsynsbegäran mail.docx", "A 18207-2023")</f>
        <v/>
      </c>
    </row>
    <row r="14" ht="15" customHeight="1">
      <c r="A14" t="inlineStr">
        <is>
          <t>A 38890-2024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45547</v>
      </c>
      <c r="E14" s="1" t="n">
        <v>46326</v>
      </c>
      <c r="F14" t="inlineStr">
        <is>
          <t>KRONOBERGS LÄN</t>
        </is>
      </c>
      <c r="G14" t="inlineStr">
        <is>
          <t>ALVESTA</t>
        </is>
      </c>
      <c r="I14" t="n">
        <v>0.7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6</v>
      </c>
      <c r="U14" t="n">
        <v>2</v>
      </c>
      <c r="V14" s="2" t="inlineStr">
        <is>
          <t>Gråsiska
Hårklomossa
Havsörn</t>
        </is>
      </c>
      <c r="W14">
        <f>HYPERLINK("https://klasma.github.io/Logging_0764/artfynd/A 38890-2024 artfynd.xlsx", "A 38890-2024")</f>
        <v/>
      </c>
      <c r="X14">
        <f>HYPERLINK("https://klasma.github.io/Logging_0764/kartor/A 38890-2024 karta.png", "A 38890-2024")</f>
        <v/>
      </c>
      <c r="Y14">
        <f>HYPERLINK("https://klasma.github.io/Logging_0764/kartor_geotiff/A 38890-2024 georefererad karta.tif", "A 38890-2024")</f>
        <v/>
      </c>
      <c r="AA14">
        <f>HYPERLINK("https://klasma.github.io/Logging_0764/klagomål/A 38890-2024 FSC-klagomål.docx", "A 38890-2024")</f>
        <v/>
      </c>
      <c r="AB14">
        <f>HYPERLINK("https://klasma.github.io/Logging_0764/klagomålsmail/A 38890-2024 FSC-klagomål mail.docx", "A 38890-2024")</f>
        <v/>
      </c>
      <c r="AC14">
        <f>HYPERLINK("https://klasma.github.io/Logging_0764/tillsyn/A 38890-2024 tillsynsbegäran.docx", "A 38890-2024")</f>
        <v/>
      </c>
      <c r="AD14">
        <f>HYPERLINK("https://klasma.github.io/Logging_0764/tillsynsmail/A 38890-2024 tillsynsbegäran mail.docx", "A 38890-2024")</f>
        <v/>
      </c>
      <c r="AE14">
        <f>HYPERLINK("https://klasma.github.io/Logging_0764/fåglar/A 38890-2024 prioriterade fågelarter.docx", "A 38890-2024")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46326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46326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46326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46326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46326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46326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46326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46326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46326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46326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46326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46326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46326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46326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46326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1811-2025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46326</v>
      </c>
      <c r="F30" t="inlineStr">
        <is>
          <t>KRONOBERGS LÄN</t>
        </is>
      </c>
      <c r="G30" t="inlineStr">
        <is>
          <t>ALVESTA</t>
        </is>
      </c>
      <c r="H30" t="inlineStr">
        <is>
          <t>Kyrkan</t>
        </is>
      </c>
      <c r="I30" t="n">
        <v>2.3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Blomkålssvamp
Spillkråka</t>
        </is>
      </c>
      <c r="W30">
        <f>HYPERLINK("https://klasma.github.io/Logging_0764/artfynd/A 1811-2025 artfynd.xlsx", "A 1811-2025")</f>
        <v/>
      </c>
      <c r="X30">
        <f>HYPERLINK("https://klasma.github.io/Logging_0764/kartor/A 1811-2025 karta.png", "A 1811-2025")</f>
        <v/>
      </c>
      <c r="Y30">
        <f>HYPERLINK("https://klasma.github.io/Logging_0764/kartor_geotiff/A 1811-2025 georefererad karta.tif", "A 1811-2025")</f>
        <v/>
      </c>
      <c r="AA30">
        <f>HYPERLINK("https://klasma.github.io/Logging_0764/klagomål/A 1811-2025 FSC-klagomål.docx", "A 1811-2025")</f>
        <v/>
      </c>
      <c r="AB30">
        <f>HYPERLINK("https://klasma.github.io/Logging_0764/klagomålsmail/A 1811-2025 FSC-klagomål mail.docx", "A 1811-2025")</f>
        <v/>
      </c>
      <c r="AC30">
        <f>HYPERLINK("https://klasma.github.io/Logging_0764/tillsyn/A 1811-2025 tillsynsbegäran.docx", "A 1811-2025")</f>
        <v/>
      </c>
      <c r="AD30">
        <f>HYPERLINK("https://klasma.github.io/Logging_0764/tillsynsmail/A 1811-2025 tillsynsbegäran mail.docx", "A 1811-2025")</f>
        <v/>
      </c>
      <c r="AE30">
        <f>HYPERLINK("https://klasma.github.io/Logging_0764/fåglar/A 1811-2025 prioriterade fågelarter.docx", "A 1811-2025")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46326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46326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562-2025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45709</v>
      </c>
      <c r="E33" s="1" t="n">
        <v>46326</v>
      </c>
      <c r="F33" t="inlineStr">
        <is>
          <t>KRONOBERGS LÄN</t>
        </is>
      </c>
      <c r="G33" t="inlineStr">
        <is>
          <t>ALVESTA</t>
        </is>
      </c>
      <c r="I33" t="n">
        <v>20.4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Gråsiska
Spillkråka</t>
        </is>
      </c>
      <c r="W33">
        <f>HYPERLINK("https://klasma.github.io/Logging_0764/artfynd/S 562-2025 artfynd.xlsx", "S 562-2025")</f>
        <v/>
      </c>
      <c r="X33">
        <f>HYPERLINK("https://klasma.github.io/Logging_0764/kartor/S 562-2025 karta.png", "S 562-2025")</f>
        <v/>
      </c>
      <c r="Y33">
        <f>HYPERLINK("https://klasma.github.io/Logging_0764/kartor_geotiff/S 562-2025 georefererad karta.tif", "S 562-2025")</f>
        <v/>
      </c>
      <c r="AA33">
        <f>HYPERLINK("https://klasma.github.io/Logging_0764/klagomål/S 562-2025 FSC-klagomål.docx", "S 562-2025")</f>
        <v/>
      </c>
      <c r="AB33">
        <f>HYPERLINK("https://klasma.github.io/Logging_0764/klagomålsmail/S 562-2025 FSC-klagomål mail.docx", "S 562-2025")</f>
        <v/>
      </c>
      <c r="AC33">
        <f>HYPERLINK("https://klasma.github.io/Logging_0764/tillsyn/S 562-2025 tillsynsbegäran.docx", "S 562-2025")</f>
        <v/>
      </c>
      <c r="AD33">
        <f>HYPERLINK("https://klasma.github.io/Logging_0764/tillsynsmail/S 562-2025 tillsynsbegäran mail.docx", "S 562-2025")</f>
        <v/>
      </c>
      <c r="AE33">
        <f>HYPERLINK("https://klasma.github.io/Logging_0764/fåglar/S 562-2025 prioriterade fågelarter.docx", "S 562-2025")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46326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46326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46326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46326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25220-2025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46326</v>
      </c>
      <c r="F38" t="inlineStr">
        <is>
          <t>KRONOBERGS LÄN</t>
        </is>
      </c>
      <c r="G38" t="inlineStr">
        <is>
          <t>ALVESTA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Bergfink</t>
        </is>
      </c>
      <c r="W38">
        <f>HYPERLINK("https://klasma.github.io/Logging_0764/artfynd/A 25220-2025 artfynd.xlsx", "A 25220-2025")</f>
        <v/>
      </c>
      <c r="X38">
        <f>HYPERLINK("https://klasma.github.io/Logging_0764/kartor/A 25220-2025 karta.png", "A 25220-2025")</f>
        <v/>
      </c>
      <c r="Y38">
        <f>HYPERLINK("https://klasma.github.io/Logging_0764/kartor_geotiff/A 25220-2025 georefererad karta.tif", "A 25220-2025")</f>
        <v/>
      </c>
      <c r="AA38">
        <f>HYPERLINK("https://klasma.github.io/Logging_0764/klagomål/A 25220-2025 FSC-klagomål.docx", "A 25220-2025")</f>
        <v/>
      </c>
      <c r="AB38">
        <f>HYPERLINK("https://klasma.github.io/Logging_0764/klagomålsmail/A 25220-2025 FSC-klagomål mail.docx", "A 25220-2025")</f>
        <v/>
      </c>
      <c r="AC38">
        <f>HYPERLINK("https://klasma.github.io/Logging_0764/tillsyn/A 25220-2025 tillsynsbegäran.docx", "A 25220-2025")</f>
        <v/>
      </c>
      <c r="AD38">
        <f>HYPERLINK("https://klasma.github.io/Logging_0764/tillsynsmail/A 25220-2025 tillsynsbegäran mail.docx", "A 25220-2025")</f>
        <v/>
      </c>
    </row>
    <row r="39" ht="15" customHeight="1">
      <c r="A39" t="inlineStr">
        <is>
          <t>A 44406-2024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45573</v>
      </c>
      <c r="E39" s="1" t="n">
        <v>46326</v>
      </c>
      <c r="F39" t="inlineStr">
        <is>
          <t>KRONOBERGS LÄN</t>
        </is>
      </c>
      <c r="G39" t="inlineStr">
        <is>
          <t>ALVESTA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44406-2024 artfynd.xlsx", "A 44406-2024")</f>
        <v/>
      </c>
      <c r="X39">
        <f>HYPERLINK("https://klasma.github.io/Logging_0764/kartor/A 44406-2024 karta.png", "A 44406-2024")</f>
        <v/>
      </c>
      <c r="Y39">
        <f>HYPERLINK("https://klasma.github.io/Logging_0764/kartor_geotiff/A 44406-2024 georefererad karta.tif", "A 44406-2024")</f>
        <v/>
      </c>
      <c r="AA39">
        <f>HYPERLINK("https://klasma.github.io/Logging_0764/klagomål/A 44406-2024 FSC-klagomål.docx", "A 44406-2024")</f>
        <v/>
      </c>
      <c r="AB39">
        <f>HYPERLINK("https://klasma.github.io/Logging_0764/klagomålsmail/A 44406-2024 FSC-klagomål mail.docx", "A 44406-2024")</f>
        <v/>
      </c>
      <c r="AC39">
        <f>HYPERLINK("https://klasma.github.io/Logging_0764/tillsyn/A 44406-2024 tillsynsbegäran.docx", "A 44406-2024")</f>
        <v/>
      </c>
      <c r="AD39">
        <f>HYPERLINK("https://klasma.github.io/Logging_0764/tillsynsmail/A 44406-2024 tillsynsbegäran mail.docx", "A 44406-2024")</f>
        <v/>
      </c>
    </row>
    <row r="40" ht="15" customHeight="1">
      <c r="A40" t="inlineStr">
        <is>
          <t>A 11669-2024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46326</v>
      </c>
      <c r="F40" t="inlineStr">
        <is>
          <t>KRONOBERGS LÄN</t>
        </is>
      </c>
      <c r="G40" t="inlineStr">
        <is>
          <t>ALVESTA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Skuggmossa</t>
        </is>
      </c>
      <c r="W40">
        <f>HYPERLINK("https://klasma.github.io/Logging_0764/artfynd/A 11669-2024 artfynd.xlsx", "A 11669-2024")</f>
        <v/>
      </c>
      <c r="X40">
        <f>HYPERLINK("https://klasma.github.io/Logging_0764/kartor/A 11669-2024 karta.png", "A 11669-2024")</f>
        <v/>
      </c>
      <c r="Y40">
        <f>HYPERLINK("https://klasma.github.io/Logging_0764/kartor_geotiff/A 11669-2024 georefererad karta.tif", "A 11669-2024")</f>
        <v/>
      </c>
      <c r="AA40">
        <f>HYPERLINK("https://klasma.github.io/Logging_0764/klagomål/A 11669-2024 FSC-klagomål.docx", "A 11669-2024")</f>
        <v/>
      </c>
      <c r="AB40">
        <f>HYPERLINK("https://klasma.github.io/Logging_0764/klagomålsmail/A 11669-2024 FSC-klagomål mail.docx", "A 11669-2024")</f>
        <v/>
      </c>
      <c r="AC40">
        <f>HYPERLINK("https://klasma.github.io/Logging_0764/tillsyn/A 11669-2024 tillsynsbegäran.docx", "A 11669-2024")</f>
        <v/>
      </c>
      <c r="AD40">
        <f>HYPERLINK("https://klasma.github.io/Logging_0764/tillsynsmail/A 11669-2024 tillsynsbegäran mail.docx", "A 11669-2024")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46326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46326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35279-2022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44798</v>
      </c>
      <c r="E43" s="1" t="n">
        <v>46326</v>
      </c>
      <c r="F43" t="inlineStr">
        <is>
          <t>KRONOBERGS LÄN</t>
        </is>
      </c>
      <c r="G43" t="inlineStr">
        <is>
          <t>ALVESTA</t>
        </is>
      </c>
      <c r="H43" t="inlineStr">
        <is>
          <t>Kyrkan</t>
        </is>
      </c>
      <c r="I43" t="n">
        <v>3.8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2</v>
      </c>
      <c r="V43" s="2" t="inlineStr">
        <is>
          <t>Knärot</t>
        </is>
      </c>
      <c r="W43">
        <f>HYPERLINK("https://klasma.github.io/Logging_0764/artfynd/A 35279-2022 artfynd.xlsx", "A 35279-2022")</f>
        <v/>
      </c>
      <c r="X43">
        <f>HYPERLINK("https://klasma.github.io/Logging_0764/kartor/A 35279-2022 karta.png", "A 35279-2022")</f>
        <v/>
      </c>
      <c r="Y43">
        <f>HYPERLINK("https://klasma.github.io/Logging_0764/kartor_geotiff/A 35279-2022 georefererad karta.tif", "A 35279-2022")</f>
        <v/>
      </c>
      <c r="Z43">
        <f>HYPERLINK("https://klasma.github.io/Logging_0764/knärot/A 35279-2022 karta knärot.png", "A 35279-2022")</f>
        <v/>
      </c>
      <c r="AA43">
        <f>HYPERLINK("https://klasma.github.io/Logging_0764/klagomål/A 35279-2022 FSC-klagomål.docx", "A 35279-2022")</f>
        <v/>
      </c>
      <c r="AB43">
        <f>HYPERLINK("https://klasma.github.io/Logging_0764/klagomålsmail/A 35279-2022 FSC-klagomål mail.docx", "A 35279-2022")</f>
        <v/>
      </c>
      <c r="AC43">
        <f>HYPERLINK("https://klasma.github.io/Logging_0764/tillsyn/A 35279-2022 tillsynsbegäran.docx", "A 35279-2022")</f>
        <v/>
      </c>
      <c r="AD43">
        <f>HYPERLINK("https://klasma.github.io/Logging_0764/tillsynsmail/A 35279-2022 tillsynsbegäran mail.docx", "A 35279-2022")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46326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46326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46326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46326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46326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18676-2023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45043</v>
      </c>
      <c r="E49" s="1" t="n">
        <v>46326</v>
      </c>
      <c r="F49" t="inlineStr">
        <is>
          <t>KRONOBERGS LÄN</t>
        </is>
      </c>
      <c r="G49" t="inlineStr">
        <is>
          <t>ALVESTA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Blomkålssvamp</t>
        </is>
      </c>
      <c r="W49">
        <f>HYPERLINK("https://klasma.github.io/Logging_0764/artfynd/A 18676-2023 artfynd.xlsx", "A 18676-2023")</f>
        <v/>
      </c>
      <c r="X49">
        <f>HYPERLINK("https://klasma.github.io/Logging_0764/kartor/A 18676-2023 karta.png", "A 18676-2023")</f>
        <v/>
      </c>
      <c r="Y49">
        <f>HYPERLINK("https://klasma.github.io/Logging_0764/kartor_geotiff/A 18676-2023 georefererad karta.tif", "A 18676-2023")</f>
        <v/>
      </c>
      <c r="AA49">
        <f>HYPERLINK("https://klasma.github.io/Logging_0764/klagomål/A 18676-2023 FSC-klagomål.docx", "A 18676-2023")</f>
        <v/>
      </c>
      <c r="AB49">
        <f>HYPERLINK("https://klasma.github.io/Logging_0764/klagomålsmail/A 18676-2023 FSC-klagomål mail.docx", "A 18676-2023")</f>
        <v/>
      </c>
      <c r="AC49">
        <f>HYPERLINK("https://klasma.github.io/Logging_0764/tillsyn/A 18676-2023 tillsynsbegäran.docx", "A 18676-2023")</f>
        <v/>
      </c>
      <c r="AD49">
        <f>HYPERLINK("https://klasma.github.io/Logging_0764/tillsynsmail/A 18676-2023 tillsynsbegäran mail.docx", "A 18676-2023")</f>
        <v/>
      </c>
    </row>
    <row r="50" ht="15" customHeight="1">
      <c r="A50" t="inlineStr">
        <is>
          <t>A 43766-2023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46326</v>
      </c>
      <c r="F50" t="inlineStr">
        <is>
          <t>KRONOBERGS LÄN</t>
        </is>
      </c>
      <c r="G50" t="inlineStr">
        <is>
          <t>ALVESTA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HYPERLINK("https://klasma.github.io/Logging_0764/artfynd/A 43766-2023 artfynd.xlsx", "A 43766-2023")</f>
        <v/>
      </c>
      <c r="X50">
        <f>HYPERLINK("https://klasma.github.io/Logging_0764/kartor/A 43766-2023 karta.png", "A 43766-2023")</f>
        <v/>
      </c>
      <c r="Y50">
        <f>HYPERLINK("https://klasma.github.io/Logging_0764/kartor_geotiff/A 43766-2023 georefererad karta.tif", "A 43766-2023")</f>
        <v/>
      </c>
      <c r="AA50">
        <f>HYPERLINK("https://klasma.github.io/Logging_0764/klagomål/A 43766-2023 FSC-klagomål.docx", "A 43766-2023")</f>
        <v/>
      </c>
      <c r="AB50">
        <f>HYPERLINK("https://klasma.github.io/Logging_0764/klagomålsmail/A 43766-2023 FSC-klagomål mail.docx", "A 43766-2023")</f>
        <v/>
      </c>
      <c r="AC50">
        <f>HYPERLINK("https://klasma.github.io/Logging_0764/tillsyn/A 43766-2023 tillsynsbegäran.docx", "A 43766-2023")</f>
        <v/>
      </c>
      <c r="AD50">
        <f>HYPERLINK("https://klasma.github.io/Logging_0764/tillsynsmail/A 43766-2023 tillsynsbegäran mail.docx", "A 43766-2023")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46326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46326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46326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46326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46326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S 2792-2026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46322</v>
      </c>
      <c r="E56" s="1" t="n">
        <v>46326</v>
      </c>
      <c r="F56" t="inlineStr">
        <is>
          <t>KRONOBERGS LÄN</t>
        </is>
      </c>
      <c r="G56" t="inlineStr">
        <is>
          <t>ALVESTA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Fällmossa</t>
        </is>
      </c>
      <c r="W56">
        <f>HYPERLINK("https://klasma.github.io/Logging_0764/artfynd/S 2792-2026 artfynd.xlsx", "S 2792-2026")</f>
        <v/>
      </c>
      <c r="X56">
        <f>HYPERLINK("https://klasma.github.io/Logging_0764/kartor/S 2792-2026 karta.png", "S 2792-2026")</f>
        <v/>
      </c>
      <c r="Y56">
        <f>HYPERLINK("https://klasma.github.io/Logging_0764/kartor_geotiff/S 2792-2026 georefererad karta.tif", "S 2792-2026")</f>
        <v/>
      </c>
      <c r="AA56">
        <f>HYPERLINK("https://klasma.github.io/Logging_0764/klagomål/S 2792-2026 FSC-klagomål.docx", "S 2792-2026")</f>
        <v/>
      </c>
      <c r="AB56">
        <f>HYPERLINK("https://klasma.github.io/Logging_0764/klagomålsmail/S 2792-2026 FSC-klagomål mail.docx", "S 2792-2026")</f>
        <v/>
      </c>
      <c r="AC56">
        <f>HYPERLINK("https://klasma.github.io/Logging_0764/tillsyn/S 2792-2026 tillsynsbegäran.docx", "S 2792-2026")</f>
        <v/>
      </c>
      <c r="AD56">
        <f>HYPERLINK("https://klasma.github.io/Logging_0764/tillsynsmail/S 2792-2026 tillsynsbegäran mail.docx", "S 2792-2026")</f>
        <v/>
      </c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46326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46326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46326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46326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46326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46326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46326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46326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46326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46326</v>
      </c>
      <c r="F66" t="inlineStr">
        <is>
          <t>KRONOBERGS LÄN</t>
        </is>
      </c>
      <c r="G66" t="inlineStr">
        <is>
          <t>ALVESTA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46326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46326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46326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46326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46326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46326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46326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46326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46326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46326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46326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46326</v>
      </c>
      <c r="F78" t="inlineStr">
        <is>
          <t>KRONOBERGS LÄN</t>
        </is>
      </c>
      <c r="G78" t="inlineStr">
        <is>
          <t>ALVESTA</t>
        </is>
      </c>
      <c r="H78" t="inlineStr">
        <is>
          <t>Kommuner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46326</v>
      </c>
      <c r="F79" t="inlineStr">
        <is>
          <t>KRONOBERGS LÄN</t>
        </is>
      </c>
      <c r="G79" t="inlineStr">
        <is>
          <t>ALVESTA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46326</v>
      </c>
      <c r="F80" t="inlineStr">
        <is>
          <t>KRONOBERGS LÄN</t>
        </is>
      </c>
      <c r="G80" t="inlineStr">
        <is>
          <t>ALVESTA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46326</v>
      </c>
      <c r="F81" t="inlineStr">
        <is>
          <t>KRONOBERGS LÄN</t>
        </is>
      </c>
      <c r="G81" t="inlineStr">
        <is>
          <t>ALVESTA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46326</v>
      </c>
      <c r="F82" t="inlineStr">
        <is>
          <t>KRONOBERGS LÄN</t>
        </is>
      </c>
      <c r="G82" t="inlineStr">
        <is>
          <t>ALVESTA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46326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43000-2022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44833</v>
      </c>
      <c r="E84" s="1" t="n">
        <v>46326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46326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46326</v>
      </c>
      <c r="F86" t="inlineStr">
        <is>
          <t>KRONOBERGS LÄN</t>
        </is>
      </c>
      <c r="G86" t="inlineStr">
        <is>
          <t>ALVESTA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46326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46326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46326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46326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70869-2021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44538</v>
      </c>
      <c r="E91" s="1" t="n">
        <v>46326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46326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46326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46326</v>
      </c>
      <c r="F94" t="inlineStr">
        <is>
          <t>KRONOBERGS LÄN</t>
        </is>
      </c>
      <c r="G94" t="inlineStr">
        <is>
          <t>ALVESTA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44592</v>
      </c>
      <c r="E95" s="1" t="n">
        <v>46326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46326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46326</v>
      </c>
      <c r="F97" t="inlineStr">
        <is>
          <t>KRONOBERGS LÄN</t>
        </is>
      </c>
      <c r="G97" t="inlineStr">
        <is>
          <t>ALVESTA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46326</v>
      </c>
      <c r="F98" t="inlineStr">
        <is>
          <t>KRONOBERGS LÄN</t>
        </is>
      </c>
      <c r="G98" t="inlineStr">
        <is>
          <t>ALVESTA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46326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46326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46326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46326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46326</v>
      </c>
      <c r="F103" t="inlineStr">
        <is>
          <t>KRONOBERGS LÄN</t>
        </is>
      </c>
      <c r="G103" t="inlineStr">
        <is>
          <t>ALVESTA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44783</v>
      </c>
      <c r="E104" s="1" t="n">
        <v>46326</v>
      </c>
      <c r="F104" t="inlineStr">
        <is>
          <t>KRONOBERGS LÄN</t>
        </is>
      </c>
      <c r="G104" t="inlineStr">
        <is>
          <t>ALVESTA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46326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45218</v>
      </c>
      <c r="E106" s="1" t="n">
        <v>46326</v>
      </c>
      <c r="F106" t="inlineStr">
        <is>
          <t>KRONOBERGS LÄN</t>
        </is>
      </c>
      <c r="G106" t="inlineStr">
        <is>
          <t>ALVESTA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46326</v>
      </c>
      <c r="F107" t="inlineStr">
        <is>
          <t>KRONOBERGS LÄN</t>
        </is>
      </c>
      <c r="G107" t="inlineStr">
        <is>
          <t>ALVESTA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46326</v>
      </c>
      <c r="F108" t="inlineStr">
        <is>
          <t>KRONOBERGS LÄN</t>
        </is>
      </c>
      <c r="G108" t="inlineStr">
        <is>
          <t>ALVESTA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44569</v>
      </c>
      <c r="E109" s="1" t="n">
        <v>46326</v>
      </c>
      <c r="F109" t="inlineStr">
        <is>
          <t>KRONOBERGS LÄN</t>
        </is>
      </c>
      <c r="G109" t="inlineStr">
        <is>
          <t>ALVESTA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45530</v>
      </c>
      <c r="E110" s="1" t="n">
        <v>46326</v>
      </c>
      <c r="F110" t="inlineStr">
        <is>
          <t>KRONOBERGS LÄN</t>
        </is>
      </c>
      <c r="G110" t="inlineStr">
        <is>
          <t>ALVESTA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46326</v>
      </c>
      <c r="F111" t="inlineStr">
        <is>
          <t>KRONOBERGS LÄN</t>
        </is>
      </c>
      <c r="G111" t="inlineStr">
        <is>
          <t>ALVESTA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44783</v>
      </c>
      <c r="E112" s="1" t="n">
        <v>46326</v>
      </c>
      <c r="F112" t="inlineStr">
        <is>
          <t>KRONOBERGS LÄN</t>
        </is>
      </c>
      <c r="G112" t="inlineStr">
        <is>
          <t>ALVESTA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44783</v>
      </c>
      <c r="E113" s="1" t="n">
        <v>46326</v>
      </c>
      <c r="F113" t="inlineStr">
        <is>
          <t>KRONOBERGS LÄN</t>
        </is>
      </c>
      <c r="G113" t="inlineStr">
        <is>
          <t>ALVESTA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46326</v>
      </c>
      <c r="F114" t="inlineStr">
        <is>
          <t>KRONOBERGS LÄN</t>
        </is>
      </c>
      <c r="G114" t="inlineStr">
        <is>
          <t>ALVESTA</t>
        </is>
      </c>
      <c r="H114" t="inlineStr">
        <is>
          <t>Kommuner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46326</v>
      </c>
      <c r="F115" t="inlineStr">
        <is>
          <t>KRONOBERGS LÄN</t>
        </is>
      </c>
      <c r="G115" t="inlineStr">
        <is>
          <t>ALVESTA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46326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44985</v>
      </c>
      <c r="E117" s="1" t="n">
        <v>46326</v>
      </c>
      <c r="F117" t="inlineStr">
        <is>
          <t>KRONOBERGS LÄN</t>
        </is>
      </c>
      <c r="G117" t="inlineStr">
        <is>
          <t>ALVESTA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45384</v>
      </c>
      <c r="E118" s="1" t="n">
        <v>46326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46326</v>
      </c>
      <c r="F119" t="inlineStr">
        <is>
          <t>KRONOBERGS LÄN</t>
        </is>
      </c>
      <c r="G119" t="inlineStr">
        <is>
          <t>ALVESTA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46326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44901</v>
      </c>
      <c r="E121" s="1" t="n">
        <v>46326</v>
      </c>
      <c r="F121" t="inlineStr">
        <is>
          <t>KRONOBERGS LÄN</t>
        </is>
      </c>
      <c r="G121" t="inlineStr">
        <is>
          <t>ALVESTA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46326</v>
      </c>
      <c r="F122" t="inlineStr">
        <is>
          <t>KRONOBERGS LÄN</t>
        </is>
      </c>
      <c r="G122" t="inlineStr">
        <is>
          <t>ALVESTA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7287-2022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44606</v>
      </c>
      <c r="E123" s="1" t="n">
        <v>46326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45518</v>
      </c>
      <c r="E124" s="1" t="n">
        <v>46326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45632</v>
      </c>
      <c r="E125" s="1" t="n">
        <v>46326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44754</v>
      </c>
      <c r="E126" s="1" t="n">
        <v>46326</v>
      </c>
      <c r="F126" t="inlineStr">
        <is>
          <t>KRONOBERGS LÄN</t>
        </is>
      </c>
      <c r="G126" t="inlineStr">
        <is>
          <t>ALVESTA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44687</v>
      </c>
      <c r="E127" s="1" t="n">
        <v>46326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46326</v>
      </c>
      <c r="F128" t="inlineStr">
        <is>
          <t>KRONOBERGS LÄN</t>
        </is>
      </c>
      <c r="G128" t="inlineStr">
        <is>
          <t>ALVESTA</t>
        </is>
      </c>
      <c r="H128" t="inlineStr">
        <is>
          <t>Övriga Aktiebolag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62969-2023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45272</v>
      </c>
      <c r="E129" s="1" t="n">
        <v>46326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46326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46326</v>
      </c>
      <c r="F131" t="inlineStr">
        <is>
          <t>KRONOBERGS LÄN</t>
        </is>
      </c>
      <c r="G131" t="inlineStr">
        <is>
          <t>ALVESTA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60487-2023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45259</v>
      </c>
      <c r="E132" s="1" t="n">
        <v>46326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46326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46326</v>
      </c>
      <c r="F134" t="inlineStr">
        <is>
          <t>KRONOBERGS LÄN</t>
        </is>
      </c>
      <c r="G134" t="inlineStr">
        <is>
          <t>ALVESTA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46326</v>
      </c>
      <c r="F135" t="inlineStr">
        <is>
          <t>KRONOBERGS LÄN</t>
        </is>
      </c>
      <c r="G135" t="inlineStr">
        <is>
          <t>ALVESTA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46326</v>
      </c>
      <c r="F136" t="inlineStr">
        <is>
          <t>KRONOBERGS LÄN</t>
        </is>
      </c>
      <c r="G136" t="inlineStr">
        <is>
          <t>ALVESTA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46326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46326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46326</v>
      </c>
      <c r="F139" t="inlineStr">
        <is>
          <t>KRONOBERGS LÄN</t>
        </is>
      </c>
      <c r="G139" t="inlineStr">
        <is>
          <t>ALVESTA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46326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49600-2024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46326</v>
      </c>
      <c r="F141" t="inlineStr">
        <is>
          <t>KRONOBERGS LÄN</t>
        </is>
      </c>
      <c r="G141" t="inlineStr">
        <is>
          <t>ALVESTA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46326</v>
      </c>
      <c r="F142" t="inlineStr">
        <is>
          <t>KRONOBERGS LÄN</t>
        </is>
      </c>
      <c r="G142" t="inlineStr">
        <is>
          <t>ALVESTA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46326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44504</v>
      </c>
      <c r="E144" s="1" t="n">
        <v>46326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44972</v>
      </c>
      <c r="E145" s="1" t="n">
        <v>46326</v>
      </c>
      <c r="F145" t="inlineStr">
        <is>
          <t>KRONOBERGS LÄN</t>
        </is>
      </c>
      <c r="G145" t="inlineStr">
        <is>
          <t>ALVESTA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6489-2022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44601</v>
      </c>
      <c r="E146" s="1" t="n">
        <v>46326</v>
      </c>
      <c r="F146" t="inlineStr">
        <is>
          <t>KRONOBERGS LÄN</t>
        </is>
      </c>
      <c r="G146" t="inlineStr">
        <is>
          <t>ALVESTA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46326</v>
      </c>
      <c r="F147" t="inlineStr">
        <is>
          <t>KRONOBERGS LÄN</t>
        </is>
      </c>
      <c r="G147" t="inlineStr">
        <is>
          <t>ALVESTA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46326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45362</v>
      </c>
      <c r="E149" s="1" t="n">
        <v>46326</v>
      </c>
      <c r="F149" t="inlineStr">
        <is>
          <t>KRONOBERGS LÄN</t>
        </is>
      </c>
      <c r="G149" t="inlineStr">
        <is>
          <t>ALVESTA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46326</v>
      </c>
      <c r="F150" t="inlineStr">
        <is>
          <t>KRONOBERGS LÄN</t>
        </is>
      </c>
      <c r="G150" t="inlineStr">
        <is>
          <t>ALVESTA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46326</v>
      </c>
      <c r="F151" t="inlineStr">
        <is>
          <t>KRONOBERGS LÄN</t>
        </is>
      </c>
      <c r="G151" t="inlineStr">
        <is>
          <t>ALVESTA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46326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28015-2024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45476</v>
      </c>
      <c r="E153" s="1" t="n">
        <v>46326</v>
      </c>
      <c r="F153" t="inlineStr">
        <is>
          <t>KRONOBERGS LÄN</t>
        </is>
      </c>
      <c r="G153" t="inlineStr">
        <is>
          <t>ALVESTA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44957</v>
      </c>
      <c r="E154" s="1" t="n">
        <v>46326</v>
      </c>
      <c r="F154" t="inlineStr">
        <is>
          <t>KRONOBERGS LÄN</t>
        </is>
      </c>
      <c r="G154" t="inlineStr">
        <is>
          <t>ALVESTA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46326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46326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45264</v>
      </c>
      <c r="E157" s="1" t="n">
        <v>46326</v>
      </c>
      <c r="F157" t="inlineStr">
        <is>
          <t>KRONOBERGS LÄN</t>
        </is>
      </c>
      <c r="G157" t="inlineStr">
        <is>
          <t>ALVESTA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44818-2024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45574</v>
      </c>
      <c r="E158" s="1" t="n">
        <v>46326</v>
      </c>
      <c r="F158" t="inlineStr">
        <is>
          <t>KRONOBERGS LÄN</t>
        </is>
      </c>
      <c r="G158" t="inlineStr">
        <is>
          <t>ALVESTA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26965-2025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45811</v>
      </c>
      <c r="E159" s="1" t="n">
        <v>46326</v>
      </c>
      <c r="F159" t="inlineStr">
        <is>
          <t>KRONOBERGS LÄN</t>
        </is>
      </c>
      <c r="G159" t="inlineStr">
        <is>
          <t>ALVESTA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46326</v>
      </c>
      <c r="F160" t="inlineStr">
        <is>
          <t>KRONOBERGS LÄN</t>
        </is>
      </c>
      <c r="G160" t="inlineStr">
        <is>
          <t>ALVESTA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46326</v>
      </c>
      <c r="F161" t="inlineStr">
        <is>
          <t>KRONOBERGS LÄN</t>
        </is>
      </c>
      <c r="G161" t="inlineStr">
        <is>
          <t>ALVESTA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46326</v>
      </c>
      <c r="F162" t="inlineStr">
        <is>
          <t>KRONOBERGS LÄN</t>
        </is>
      </c>
      <c r="G162" t="inlineStr">
        <is>
          <t>ALVESTA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46326</v>
      </c>
      <c r="F163" t="inlineStr">
        <is>
          <t>KRONOBERGS LÄN</t>
        </is>
      </c>
      <c r="G163" t="inlineStr">
        <is>
          <t>ALVESTA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46326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46326</v>
      </c>
      <c r="F165" t="inlineStr">
        <is>
          <t>KRONOBERGS LÄN</t>
        </is>
      </c>
      <c r="G165" t="inlineStr">
        <is>
          <t>ALVESTA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46326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45460</v>
      </c>
      <c r="E167" s="1" t="n">
        <v>46326</v>
      </c>
      <c r="F167" t="inlineStr">
        <is>
          <t>KRONOBERGS LÄN</t>
        </is>
      </c>
      <c r="G167" t="inlineStr">
        <is>
          <t>ALVESTA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46326</v>
      </c>
      <c r="F168" t="inlineStr">
        <is>
          <t>KRONOBERGS LÄN</t>
        </is>
      </c>
      <c r="G168" t="inlineStr">
        <is>
          <t>ALVESTA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46326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12834-2024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46326</v>
      </c>
      <c r="F170" t="inlineStr">
        <is>
          <t>KRONOBERGS LÄN</t>
        </is>
      </c>
      <c r="G170" t="inlineStr">
        <is>
          <t>ALVESTA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46326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57118-2023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45245</v>
      </c>
      <c r="E172" s="1" t="n">
        <v>46326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58287-2022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46326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44901</v>
      </c>
      <c r="E174" s="1" t="n">
        <v>46326</v>
      </c>
      <c r="F174" t="inlineStr">
        <is>
          <t>KRONOBERGS LÄN</t>
        </is>
      </c>
      <c r="G174" t="inlineStr">
        <is>
          <t>ALVESTA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46326</v>
      </c>
      <c r="F175" t="inlineStr">
        <is>
          <t>KRONOBERGS LÄN</t>
        </is>
      </c>
      <c r="G175" t="inlineStr">
        <is>
          <t>ALVESTA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46326</v>
      </c>
      <c r="F176" t="inlineStr">
        <is>
          <t>KRONOBERGS LÄN</t>
        </is>
      </c>
      <c r="G176" t="inlineStr">
        <is>
          <t>ALVESTA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45338</v>
      </c>
      <c r="E177" s="1" t="n">
        <v>46326</v>
      </c>
      <c r="F177" t="inlineStr">
        <is>
          <t>KRONOBERGS LÄN</t>
        </is>
      </c>
      <c r="G177" t="inlineStr">
        <is>
          <t>ALVESTA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46326</v>
      </c>
      <c r="F178" t="inlineStr">
        <is>
          <t>KRONOBERGS LÄN</t>
        </is>
      </c>
      <c r="G178" t="inlineStr">
        <is>
          <t>ALVESTA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45821</v>
      </c>
      <c r="E179" s="1" t="n">
        <v>46326</v>
      </c>
      <c r="F179" t="inlineStr">
        <is>
          <t>KRONOBERGS LÄN</t>
        </is>
      </c>
      <c r="G179" t="inlineStr">
        <is>
          <t>ALVESTA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45345</v>
      </c>
      <c r="E180" s="1" t="n">
        <v>46326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46326</v>
      </c>
      <c r="F181" t="inlineStr">
        <is>
          <t>KRONOBERGS LÄN</t>
        </is>
      </c>
      <c r="G181" t="inlineStr">
        <is>
          <t>ALVESTA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46326</v>
      </c>
      <c r="F182" t="inlineStr">
        <is>
          <t>KRONOBERGS LÄN</t>
        </is>
      </c>
      <c r="G182" t="inlineStr">
        <is>
          <t>ALVESTA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45901</v>
      </c>
      <c r="E183" s="1" t="n">
        <v>46326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25261-2024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45462</v>
      </c>
      <c r="E184" s="1" t="n">
        <v>46326</v>
      </c>
      <c r="F184" t="inlineStr">
        <is>
          <t>KRONOBERGS LÄN</t>
        </is>
      </c>
      <c r="G184" t="inlineStr">
        <is>
          <t>ALVESTA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46326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46326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45673</v>
      </c>
      <c r="E187" s="1" t="n">
        <v>46326</v>
      </c>
      <c r="F187" t="inlineStr">
        <is>
          <t>KRONOBERGS LÄN</t>
        </is>
      </c>
      <c r="G187" t="inlineStr">
        <is>
          <t>ALVESTA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45673</v>
      </c>
      <c r="E188" s="1" t="n">
        <v>46326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44948</v>
      </c>
      <c r="E189" s="1" t="n">
        <v>46326</v>
      </c>
      <c r="F189" t="inlineStr">
        <is>
          <t>KRONOBERGS LÄN</t>
        </is>
      </c>
      <c r="G189" t="inlineStr">
        <is>
          <t>ALVESTA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46326</v>
      </c>
      <c r="F190" t="inlineStr">
        <is>
          <t>KRONOBERGS LÄN</t>
        </is>
      </c>
      <c r="G190" t="inlineStr">
        <is>
          <t>ALVESTA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46326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46326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46326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46326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46326</v>
      </c>
      <c r="F195" t="inlineStr">
        <is>
          <t>KRONOBERGS LÄN</t>
        </is>
      </c>
      <c r="G195" t="inlineStr">
        <is>
          <t>ALVESTA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46326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46326</v>
      </c>
      <c r="F197" t="inlineStr">
        <is>
          <t>KRONOBERGS LÄN</t>
        </is>
      </c>
      <c r="G197" t="inlineStr">
        <is>
          <t>ALVESTA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46326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46326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46326</v>
      </c>
      <c r="F200" t="inlineStr">
        <is>
          <t>KRONOBERGS LÄN</t>
        </is>
      </c>
      <c r="G200" t="inlineStr">
        <is>
          <t>ALVESTA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45670</v>
      </c>
      <c r="E201" s="1" t="n">
        <v>46326</v>
      </c>
      <c r="F201" t="inlineStr">
        <is>
          <t>KRONOBERGS LÄN</t>
        </is>
      </c>
      <c r="G201" t="inlineStr">
        <is>
          <t>ALVESTA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46326</v>
      </c>
      <c r="F202" t="inlineStr">
        <is>
          <t>KRONOBERGS LÄN</t>
        </is>
      </c>
      <c r="G202" t="inlineStr">
        <is>
          <t>ALVESTA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46326</v>
      </c>
      <c r="F203" t="inlineStr">
        <is>
          <t>KRONOBERGS LÄN</t>
        </is>
      </c>
      <c r="G203" t="inlineStr">
        <is>
          <t>ALVESTA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44189-2025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46326</v>
      </c>
      <c r="F204" t="inlineStr">
        <is>
          <t>KRONOBERGS LÄN</t>
        </is>
      </c>
      <c r="G204" t="inlineStr">
        <is>
          <t>ALVESTA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46326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45005</v>
      </c>
      <c r="E206" s="1" t="n">
        <v>46326</v>
      </c>
      <c r="F206" t="inlineStr">
        <is>
          <t>KRONOBERGS LÄN</t>
        </is>
      </c>
      <c r="G206" t="inlineStr">
        <is>
          <t>ALVESTA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46326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44528-2025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46326</v>
      </c>
      <c r="F208" t="inlineStr">
        <is>
          <t>KRONOBERGS LÄN</t>
        </is>
      </c>
      <c r="G208" t="inlineStr">
        <is>
          <t>ALVESTA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46326</v>
      </c>
      <c r="F209" t="inlineStr">
        <is>
          <t>KRONOBERGS LÄN</t>
        </is>
      </c>
      <c r="G209" t="inlineStr">
        <is>
          <t>ALVESTA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27710-2022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46326</v>
      </c>
      <c r="F210" t="inlineStr">
        <is>
          <t>KRONOBERGS LÄN</t>
        </is>
      </c>
      <c r="G210" t="inlineStr">
        <is>
          <t>ALVESTA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27731-2022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44743</v>
      </c>
      <c r="E211" s="1" t="n">
        <v>46326</v>
      </c>
      <c r="F211" t="inlineStr">
        <is>
          <t>KRONOBERGS LÄN</t>
        </is>
      </c>
      <c r="G211" t="inlineStr">
        <is>
          <t>ALVESTA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28818-2022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44749</v>
      </c>
      <c r="E212" s="1" t="n">
        <v>46326</v>
      </c>
      <c r="F212" t="inlineStr">
        <is>
          <t>KRONOBERGS LÄN</t>
        </is>
      </c>
      <c r="G212" t="inlineStr">
        <is>
          <t>ALVESTA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40049-2022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46326</v>
      </c>
      <c r="F213" t="inlineStr">
        <is>
          <t>KRONOBERGS LÄN</t>
        </is>
      </c>
      <c r="G213" t="inlineStr">
        <is>
          <t>ALVESTA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45847</v>
      </c>
      <c r="E214" s="1" t="n">
        <v>46326</v>
      </c>
      <c r="F214" t="inlineStr">
        <is>
          <t>KRONOBERGS LÄN</t>
        </is>
      </c>
      <c r="G214" t="inlineStr">
        <is>
          <t>ALVESTA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46326</v>
      </c>
      <c r="F215" t="inlineStr">
        <is>
          <t>KRONOBERGS LÄN</t>
        </is>
      </c>
      <c r="G215" t="inlineStr">
        <is>
          <t>ALVESTA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46326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35140-2025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45852</v>
      </c>
      <c r="E217" s="1" t="n">
        <v>46326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45860</v>
      </c>
      <c r="E218" s="1" t="n">
        <v>46326</v>
      </c>
      <c r="F218" t="inlineStr">
        <is>
          <t>KRONOBERGS LÄN</t>
        </is>
      </c>
      <c r="G218" t="inlineStr">
        <is>
          <t>ALVESTA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45359</v>
      </c>
      <c r="E219" s="1" t="n">
        <v>46326</v>
      </c>
      <c r="F219" t="inlineStr">
        <is>
          <t>KRONOBERGS LÄN</t>
        </is>
      </c>
      <c r="G219" t="inlineStr">
        <is>
          <t>ALVESTA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45173</v>
      </c>
      <c r="E220" s="1" t="n">
        <v>46326</v>
      </c>
      <c r="F220" t="inlineStr">
        <is>
          <t>KRONOBERGS LÄN</t>
        </is>
      </c>
      <c r="G220" t="inlineStr">
        <is>
          <t>ALVESTA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45628</v>
      </c>
      <c r="E221" s="1" t="n">
        <v>46326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46326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44911</v>
      </c>
      <c r="E223" s="1" t="n">
        <v>46326</v>
      </c>
      <c r="F223" t="inlineStr">
        <is>
          <t>KRONOBERGS LÄN</t>
        </is>
      </c>
      <c r="G223" t="inlineStr">
        <is>
          <t>ALVESTA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45547</v>
      </c>
      <c r="E224" s="1" t="n">
        <v>46326</v>
      </c>
      <c r="F224" t="inlineStr">
        <is>
          <t>KRONOBERGS LÄN</t>
        </is>
      </c>
      <c r="G224" t="inlineStr">
        <is>
          <t>ALVESTA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46326</v>
      </c>
      <c r="F225" t="inlineStr">
        <is>
          <t>KRONOBERGS LÄN</t>
        </is>
      </c>
      <c r="G225" t="inlineStr">
        <is>
          <t>ALVESTA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46326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46326</v>
      </c>
      <c r="F227" t="inlineStr">
        <is>
          <t>KRONOBERGS LÄN</t>
        </is>
      </c>
      <c r="G227" t="inlineStr">
        <is>
          <t>ALVESTA</t>
        </is>
      </c>
      <c r="H227" t="inlineStr">
        <is>
          <t>Kommuner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46326</v>
      </c>
      <c r="F228" t="inlineStr">
        <is>
          <t>KRONOBERGS LÄN</t>
        </is>
      </c>
      <c r="G228" t="inlineStr">
        <is>
          <t>ALVESTA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45055</v>
      </c>
      <c r="E229" s="1" t="n">
        <v>46326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46326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46326</v>
      </c>
      <c r="F231" t="inlineStr">
        <is>
          <t>KRONOBERGS LÄN</t>
        </is>
      </c>
      <c r="G231" t="inlineStr">
        <is>
          <t>ALVESTA</t>
        </is>
      </c>
      <c r="H231" t="inlineStr">
        <is>
          <t>Kyrkan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45128</v>
      </c>
      <c r="E232" s="1" t="n">
        <v>46326</v>
      </c>
      <c r="F232" t="inlineStr">
        <is>
          <t>KRONOBERGS LÄN</t>
        </is>
      </c>
      <c r="G232" t="inlineStr">
        <is>
          <t>ALVESTA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46326</v>
      </c>
      <c r="F233" t="inlineStr">
        <is>
          <t>KRONOBERGS LÄN</t>
        </is>
      </c>
      <c r="G233" t="inlineStr">
        <is>
          <t>ALVESTA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6475-2022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46326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45868</v>
      </c>
      <c r="E235" s="1" t="n">
        <v>46326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46326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46326</v>
      </c>
      <c r="F237" t="inlineStr">
        <is>
          <t>KRONOBERGS LÄN</t>
        </is>
      </c>
      <c r="G237" t="inlineStr">
        <is>
          <t>ALVESTA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45079</v>
      </c>
      <c r="E238" s="1" t="n">
        <v>46326</v>
      </c>
      <c r="F238" t="inlineStr">
        <is>
          <t>KRONOBERGS LÄN</t>
        </is>
      </c>
      <c r="G238" t="inlineStr">
        <is>
          <t>ALVESTA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67331-2021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44523</v>
      </c>
      <c r="E239" s="1" t="n">
        <v>46326</v>
      </c>
      <c r="F239" t="inlineStr">
        <is>
          <t>KRONOBERGS LÄN</t>
        </is>
      </c>
      <c r="G239" t="inlineStr">
        <is>
          <t>ALVESTA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3118-2025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45678</v>
      </c>
      <c r="E240" s="1" t="n">
        <v>46326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46326</v>
      </c>
      <c r="F241" t="inlineStr">
        <is>
          <t>KRONOBERGS LÄN</t>
        </is>
      </c>
      <c r="G241" t="inlineStr">
        <is>
          <t>ALVESTA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45336</v>
      </c>
      <c r="E242" s="1" t="n">
        <v>46326</v>
      </c>
      <c r="F242" t="inlineStr">
        <is>
          <t>KRONOBERGS LÄN</t>
        </is>
      </c>
      <c r="G242" t="inlineStr">
        <is>
          <t>ALVESTA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46326</v>
      </c>
      <c r="F243" t="inlineStr">
        <is>
          <t>KRONOBERGS LÄN</t>
        </is>
      </c>
      <c r="G243" t="inlineStr">
        <is>
          <t>ALVESTA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46326</v>
      </c>
      <c r="F244" t="inlineStr">
        <is>
          <t>KRONOBERGS LÄN</t>
        </is>
      </c>
      <c r="G244" t="inlineStr">
        <is>
          <t>ALVESTA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46326</v>
      </c>
      <c r="F245" t="inlineStr">
        <is>
          <t>KRONOBERGS LÄN</t>
        </is>
      </c>
      <c r="G245" t="inlineStr">
        <is>
          <t>ALVESTA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45517</v>
      </c>
      <c r="E246" s="1" t="n">
        <v>46326</v>
      </c>
      <c r="F246" t="inlineStr">
        <is>
          <t>KRONOBERGS LÄN</t>
        </is>
      </c>
      <c r="G246" t="inlineStr">
        <is>
          <t>ALVESTA</t>
        </is>
      </c>
      <c r="H246" t="inlineStr">
        <is>
          <t>Kyrkan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46326</v>
      </c>
      <c r="F247" t="inlineStr">
        <is>
          <t>KRONOBERGS LÄN</t>
        </is>
      </c>
      <c r="G247" t="inlineStr">
        <is>
          <t>ALVESTA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60478-2023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45259</v>
      </c>
      <c r="E248" s="1" t="n">
        <v>46326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44838</v>
      </c>
      <c r="E249" s="1" t="n">
        <v>46326</v>
      </c>
      <c r="F249" t="inlineStr">
        <is>
          <t>KRONOBERGS LÄN</t>
        </is>
      </c>
      <c r="G249" t="inlineStr">
        <is>
          <t>ALVESTA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46326</v>
      </c>
      <c r="F250" t="inlineStr">
        <is>
          <t>KRONOBERGS LÄN</t>
        </is>
      </c>
      <c r="G250" t="inlineStr">
        <is>
          <t>ALVESTA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45875</v>
      </c>
      <c r="E251" s="1" t="n">
        <v>46326</v>
      </c>
      <c r="F251" t="inlineStr">
        <is>
          <t>KRONOBERGS LÄN</t>
        </is>
      </c>
      <c r="G251" t="inlineStr">
        <is>
          <t>ALVESTA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45890</v>
      </c>
      <c r="E252" s="1" t="n">
        <v>46326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45673</v>
      </c>
      <c r="E253" s="1" t="n">
        <v>46326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46052</v>
      </c>
      <c r="E254" s="1" t="n">
        <v>46326</v>
      </c>
      <c r="F254" t="inlineStr">
        <is>
          <t>KRONOBERGS LÄN</t>
        </is>
      </c>
      <c r="G254" t="inlineStr">
        <is>
          <t>ALVESTA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45596</v>
      </c>
      <c r="E255" s="1" t="n">
        <v>46326</v>
      </c>
      <c r="F255" t="inlineStr">
        <is>
          <t>KRONOBERGS LÄN</t>
        </is>
      </c>
      <c r="G255" t="inlineStr">
        <is>
          <t>ALVESTA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46326</v>
      </c>
      <c r="F256" t="inlineStr">
        <is>
          <t>KRONOBERGS LÄN</t>
        </is>
      </c>
      <c r="G256" t="inlineStr">
        <is>
          <t>ALVESTA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46326</v>
      </c>
      <c r="F257" t="inlineStr">
        <is>
          <t>KRONOBERGS LÄN</t>
        </is>
      </c>
      <c r="G257" t="inlineStr">
        <is>
          <t>ALVESTA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45095</v>
      </c>
      <c r="E258" s="1" t="n">
        <v>46326</v>
      </c>
      <c r="F258" t="inlineStr">
        <is>
          <t>KRONOBERGS LÄN</t>
        </is>
      </c>
      <c r="G258" t="inlineStr">
        <is>
          <t>ALVESTA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45264</v>
      </c>
      <c r="E259" s="1" t="n">
        <v>46326</v>
      </c>
      <c r="F259" t="inlineStr">
        <is>
          <t>KRONOBERGS LÄN</t>
        </is>
      </c>
      <c r="G259" t="inlineStr">
        <is>
          <t>ALVESTA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45563</v>
      </c>
      <c r="E260" s="1" t="n">
        <v>46326</v>
      </c>
      <c r="F260" t="inlineStr">
        <is>
          <t>KRONOBERGS LÄN</t>
        </is>
      </c>
      <c r="G260" t="inlineStr">
        <is>
          <t>ALVESTA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38859-2023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46326</v>
      </c>
      <c r="F261" t="inlineStr">
        <is>
          <t>KRONOBERGS LÄN</t>
        </is>
      </c>
      <c r="G261" t="inlineStr">
        <is>
          <t>ALVESTA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46326</v>
      </c>
      <c r="F262" t="inlineStr">
        <is>
          <t>KRONOBERGS LÄN</t>
        </is>
      </c>
      <c r="G262" t="inlineStr">
        <is>
          <t>ALVESTA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46326</v>
      </c>
      <c r="F263" t="inlineStr">
        <is>
          <t>KRONOBERGS LÄN</t>
        </is>
      </c>
      <c r="G263" t="inlineStr">
        <is>
          <t>ALVESTA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45436</v>
      </c>
      <c r="E264" s="1" t="n">
        <v>46326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46326</v>
      </c>
      <c r="F265" t="inlineStr">
        <is>
          <t>KRONOBERGS LÄN</t>
        </is>
      </c>
      <c r="G265" t="inlineStr">
        <is>
          <t>ALVESTA</t>
        </is>
      </c>
      <c r="I265" t="n">
        <v>9.6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46326</v>
      </c>
      <c r="F266" t="inlineStr">
        <is>
          <t>KRONOBERGS LÄN</t>
        </is>
      </c>
      <c r="G266" t="inlineStr">
        <is>
          <t>ALVESTA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45390</v>
      </c>
      <c r="E267" s="1" t="n">
        <v>46326</v>
      </c>
      <c r="F267" t="inlineStr">
        <is>
          <t>KRONOBERGS LÄN</t>
        </is>
      </c>
      <c r="G267" t="inlineStr">
        <is>
          <t>ALVESTA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46326</v>
      </c>
      <c r="F268" t="inlineStr">
        <is>
          <t>KRONOBERGS LÄN</t>
        </is>
      </c>
      <c r="G268" t="inlineStr">
        <is>
          <t>ALVESTA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46326</v>
      </c>
      <c r="F269" t="inlineStr">
        <is>
          <t>KRONOBERGS LÄN</t>
        </is>
      </c>
      <c r="G269" t="inlineStr">
        <is>
          <t>ALVESTA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50733-2023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45217</v>
      </c>
      <c r="E270" s="1" t="n">
        <v>46326</v>
      </c>
      <c r="F270" t="inlineStr">
        <is>
          <t>KRONOBERGS LÄN</t>
        </is>
      </c>
      <c r="G270" t="inlineStr">
        <is>
          <t>ALVESTA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45086</v>
      </c>
      <c r="E271" s="1" t="n">
        <v>46326</v>
      </c>
      <c r="F271" t="inlineStr">
        <is>
          <t>KRONOBERGS LÄN</t>
        </is>
      </c>
      <c r="G271" t="inlineStr">
        <is>
          <t>ALVESTA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46326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44670</v>
      </c>
      <c r="E273" s="1" t="n">
        <v>46326</v>
      </c>
      <c r="F273" t="inlineStr">
        <is>
          <t>KRONOBERGS LÄN</t>
        </is>
      </c>
      <c r="G273" t="inlineStr">
        <is>
          <t>ALVESTA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45635</v>
      </c>
      <c r="E274" s="1" t="n">
        <v>46326</v>
      </c>
      <c r="F274" t="inlineStr">
        <is>
          <t>KRONOBERGS LÄN</t>
        </is>
      </c>
      <c r="G274" t="inlineStr">
        <is>
          <t>ALVESTA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46326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46326</v>
      </c>
      <c r="F276" t="inlineStr">
        <is>
          <t>KRONOBERGS LÄN</t>
        </is>
      </c>
      <c r="G276" t="inlineStr">
        <is>
          <t>ALVESTA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54404-2025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46326</v>
      </c>
      <c r="F277" t="inlineStr">
        <is>
          <t>KRONOBERGS LÄN</t>
        </is>
      </c>
      <c r="G277" t="inlineStr">
        <is>
          <t>ALVESTA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44620</v>
      </c>
      <c r="E278" s="1" t="n">
        <v>46326</v>
      </c>
      <c r="F278" t="inlineStr">
        <is>
          <t>KRONOBERGS LÄN</t>
        </is>
      </c>
      <c r="G278" t="inlineStr">
        <is>
          <t>ALVESTA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31181-2025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46326</v>
      </c>
      <c r="F279" t="inlineStr">
        <is>
          <t>KRONOBERGS LÄN</t>
        </is>
      </c>
      <c r="G279" t="inlineStr">
        <is>
          <t>ALVESTA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46326</v>
      </c>
      <c r="F280" t="inlineStr">
        <is>
          <t>KRONOBERGS LÄN</t>
        </is>
      </c>
      <c r="G280" t="inlineStr">
        <is>
          <t>ALVESTA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46326</v>
      </c>
      <c r="F281" t="inlineStr">
        <is>
          <t>KRONOBERGS LÄN</t>
        </is>
      </c>
      <c r="G281" t="inlineStr">
        <is>
          <t>ALVESTA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39307-2023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46326</v>
      </c>
      <c r="F282" t="inlineStr">
        <is>
          <t>KRONOBERGS LÄN</t>
        </is>
      </c>
      <c r="G282" t="inlineStr">
        <is>
          <t>ALVESTA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45548</v>
      </c>
      <c r="E283" s="1" t="n">
        <v>46326</v>
      </c>
      <c r="F283" t="inlineStr">
        <is>
          <t>KRONOBERGS LÄN</t>
        </is>
      </c>
      <c r="G283" t="inlineStr">
        <is>
          <t>ALVESTA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46326</v>
      </c>
      <c r="F284" t="inlineStr">
        <is>
          <t>KRONOBERGS LÄN</t>
        </is>
      </c>
      <c r="G284" t="inlineStr">
        <is>
          <t>ALVESTA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45407</v>
      </c>
      <c r="E285" s="1" t="n">
        <v>46326</v>
      </c>
      <c r="F285" t="inlineStr">
        <is>
          <t>KRONOBERGS LÄN</t>
        </is>
      </c>
      <c r="G285" t="inlineStr">
        <is>
          <t>ALVESTA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46326</v>
      </c>
      <c r="F286" t="inlineStr">
        <is>
          <t>KRONOBERGS LÄN</t>
        </is>
      </c>
      <c r="G286" t="inlineStr">
        <is>
          <t>ALVESTA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46326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11331-2026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46081</v>
      </c>
      <c r="E288" s="1" t="n">
        <v>46326</v>
      </c>
      <c r="F288" t="inlineStr">
        <is>
          <t>KRONOBERGS LÄN</t>
        </is>
      </c>
      <c r="G288" t="inlineStr">
        <is>
          <t>ALVESTA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46326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46326</v>
      </c>
      <c r="F290" t="inlineStr">
        <is>
          <t>KRONOBERGS LÄN</t>
        </is>
      </c>
      <c r="G290" t="inlineStr">
        <is>
          <t>ALVESTA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46326</v>
      </c>
      <c r="F291" t="inlineStr">
        <is>
          <t>KRONOBERGS LÄN</t>
        </is>
      </c>
      <c r="G291" t="inlineStr">
        <is>
          <t>ALVESTA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46326</v>
      </c>
      <c r="F292" t="inlineStr">
        <is>
          <t>KRONOBERGS LÄN</t>
        </is>
      </c>
      <c r="G292" t="inlineStr">
        <is>
          <t>ALVESTA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45105</v>
      </c>
      <c r="E293" s="1" t="n">
        <v>46326</v>
      </c>
      <c r="F293" t="inlineStr">
        <is>
          <t>KRONOBERGS LÄN</t>
        </is>
      </c>
      <c r="G293" t="inlineStr">
        <is>
          <t>ALVESTA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57307-2025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46326</v>
      </c>
      <c r="F294" t="inlineStr">
        <is>
          <t>KRONOBERGS LÄN</t>
        </is>
      </c>
      <c r="G294" t="inlineStr">
        <is>
          <t>ALVESTA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46326</v>
      </c>
      <c r="F295" t="inlineStr">
        <is>
          <t>KRONOBERGS LÄN</t>
        </is>
      </c>
      <c r="G295" t="inlineStr">
        <is>
          <t>ALVESTA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45267</v>
      </c>
      <c r="E296" s="1" t="n">
        <v>46326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45159</v>
      </c>
      <c r="E297" s="1" t="n">
        <v>46326</v>
      </c>
      <c r="F297" t="inlineStr">
        <is>
          <t>KRONOBERGS LÄN</t>
        </is>
      </c>
      <c r="G297" t="inlineStr">
        <is>
          <t>ALVESTA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46326</v>
      </c>
      <c r="F298" t="inlineStr">
        <is>
          <t>KRONOBERGS LÄN</t>
        </is>
      </c>
      <c r="G298" t="inlineStr">
        <is>
          <t>ALVESTA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46326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38875-2022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44816</v>
      </c>
      <c r="E300" s="1" t="n">
        <v>46326</v>
      </c>
      <c r="F300" t="inlineStr">
        <is>
          <t>KRONOBERGS LÄN</t>
        </is>
      </c>
      <c r="G300" t="inlineStr">
        <is>
          <t>ALVESTA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46326</v>
      </c>
      <c r="F301" t="inlineStr">
        <is>
          <t>KRONOBERGS LÄN</t>
        </is>
      </c>
      <c r="G301" t="inlineStr">
        <is>
          <t>ALVESTA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45532</v>
      </c>
      <c r="E302" s="1" t="n">
        <v>46326</v>
      </c>
      <c r="F302" t="inlineStr">
        <is>
          <t>KRONOBERGS LÄN</t>
        </is>
      </c>
      <c r="G302" t="inlineStr">
        <is>
          <t>ALVESTA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39309-2023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46326</v>
      </c>
      <c r="F303" t="inlineStr">
        <is>
          <t>KRONOBERGS LÄN</t>
        </is>
      </c>
      <c r="G303" t="inlineStr">
        <is>
          <t>ALVESTA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46326</v>
      </c>
      <c r="F304" t="inlineStr">
        <is>
          <t>KRONOBERGS LÄN</t>
        </is>
      </c>
      <c r="G304" t="inlineStr">
        <is>
          <t>ALVESTA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46326</v>
      </c>
      <c r="F305" t="inlineStr">
        <is>
          <t>KRONOBERGS LÄN</t>
        </is>
      </c>
      <c r="G305" t="inlineStr">
        <is>
          <t>ALVESTA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45336</v>
      </c>
      <c r="E306" s="1" t="n">
        <v>46326</v>
      </c>
      <c r="F306" t="inlineStr">
        <is>
          <t>KRONOBERGS LÄN</t>
        </is>
      </c>
      <c r="G306" t="inlineStr">
        <is>
          <t>ALVESTA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44805</v>
      </c>
      <c r="E307" s="1" t="n">
        <v>46326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12258-2026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46087</v>
      </c>
      <c r="E308" s="1" t="n">
        <v>46326</v>
      </c>
      <c r="F308" t="inlineStr">
        <is>
          <t>KRONOBERGS LÄN</t>
        </is>
      </c>
      <c r="G308" t="inlineStr">
        <is>
          <t>ALVESTA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45482</v>
      </c>
      <c r="E309" s="1" t="n">
        <v>46326</v>
      </c>
      <c r="F309" t="inlineStr">
        <is>
          <t>KRONOBERGS LÄN</t>
        </is>
      </c>
      <c r="G309" t="inlineStr">
        <is>
          <t>ALVESTA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45349</v>
      </c>
      <c r="E310" s="1" t="n">
        <v>46326</v>
      </c>
      <c r="F310" t="inlineStr">
        <is>
          <t>KRONOBERGS LÄN</t>
        </is>
      </c>
      <c r="G310" t="inlineStr">
        <is>
          <t>ALVESTA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46326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60700-2025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45996</v>
      </c>
      <c r="E312" s="1" t="n">
        <v>46326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46326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32334-2024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45512</v>
      </c>
      <c r="E314" s="1" t="n">
        <v>46326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46326</v>
      </c>
      <c r="F315" t="inlineStr">
        <is>
          <t>KRONOBERGS LÄN</t>
        </is>
      </c>
      <c r="G315" t="inlineStr">
        <is>
          <t>ALVESTA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45356</v>
      </c>
      <c r="E316" s="1" t="n">
        <v>46326</v>
      </c>
      <c r="F316" t="inlineStr">
        <is>
          <t>KRONOBERGS LÄN</t>
        </is>
      </c>
      <c r="G316" t="inlineStr">
        <is>
          <t>ALVESTA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46098</v>
      </c>
      <c r="E317" s="1" t="n">
        <v>46326</v>
      </c>
      <c r="F317" t="inlineStr">
        <is>
          <t>KRONOBERGS LÄN</t>
        </is>
      </c>
      <c r="G317" t="inlineStr">
        <is>
          <t>ALVESTA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45426</v>
      </c>
      <c r="E318" s="1" t="n">
        <v>46326</v>
      </c>
      <c r="F318" t="inlineStr">
        <is>
          <t>KRONOBERGS LÄN</t>
        </is>
      </c>
      <c r="G318" t="inlineStr">
        <is>
          <t>ALVESTA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46326</v>
      </c>
      <c r="F319" t="inlineStr">
        <is>
          <t>KRONOBERGS LÄN</t>
        </is>
      </c>
      <c r="G319" t="inlineStr">
        <is>
          <t>ALVESTA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46326</v>
      </c>
      <c r="F320" t="inlineStr">
        <is>
          <t>KRONOBERGS LÄN</t>
        </is>
      </c>
      <c r="G320" t="inlineStr">
        <is>
          <t>ALVESTA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52048-2024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45608</v>
      </c>
      <c r="E321" s="1" t="n">
        <v>46326</v>
      </c>
      <c r="F321" t="inlineStr">
        <is>
          <t>KRONOBERGS LÄN</t>
        </is>
      </c>
      <c r="G321" t="inlineStr">
        <is>
          <t>ALVESTA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46098</v>
      </c>
      <c r="E322" s="1" t="n">
        <v>46326</v>
      </c>
      <c r="F322" t="inlineStr">
        <is>
          <t>KRONOBERGS LÄN</t>
        </is>
      </c>
      <c r="G322" t="inlineStr">
        <is>
          <t>ALVESTA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44973</v>
      </c>
      <c r="E323" s="1" t="n">
        <v>46326</v>
      </c>
      <c r="F323" t="inlineStr">
        <is>
          <t>KRONOBERGS LÄN</t>
        </is>
      </c>
      <c r="G323" t="inlineStr">
        <is>
          <t>ALVESTA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46326</v>
      </c>
      <c r="F324" t="inlineStr">
        <is>
          <t>KRONOBERGS LÄN</t>
        </is>
      </c>
      <c r="G324" t="inlineStr">
        <is>
          <t>ALVESTA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45407</v>
      </c>
      <c r="E325" s="1" t="n">
        <v>46326</v>
      </c>
      <c r="F325" t="inlineStr">
        <is>
          <t>KRONOBERGS LÄN</t>
        </is>
      </c>
      <c r="G325" t="inlineStr">
        <is>
          <t>ALVESTA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46326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45418</v>
      </c>
      <c r="E327" s="1" t="n">
        <v>46326</v>
      </c>
      <c r="F327" t="inlineStr">
        <is>
          <t>KRONOBERGS LÄN</t>
        </is>
      </c>
      <c r="G327" t="inlineStr">
        <is>
          <t>ALVESTA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45418</v>
      </c>
      <c r="E328" s="1" t="n">
        <v>46326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46013</v>
      </c>
      <c r="E329" s="1" t="n">
        <v>46326</v>
      </c>
      <c r="F329" t="inlineStr">
        <is>
          <t>KRONOBERGS LÄN</t>
        </is>
      </c>
      <c r="G329" t="inlineStr">
        <is>
          <t>ALVESTA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45949</v>
      </c>
      <c r="E330" s="1" t="n">
        <v>46326</v>
      </c>
      <c r="F330" t="inlineStr">
        <is>
          <t>KRONOBERGS LÄN</t>
        </is>
      </c>
      <c r="G330" t="inlineStr">
        <is>
          <t>ALVESTA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6674-2024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45341</v>
      </c>
      <c r="E331" s="1" t="n">
        <v>46326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46326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46326</v>
      </c>
      <c r="F333" t="inlineStr">
        <is>
          <t>KRONOBERGS LÄN</t>
        </is>
      </c>
      <c r="G333" t="inlineStr">
        <is>
          <t>ALVESTA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46326</v>
      </c>
      <c r="F334" t="inlineStr">
        <is>
          <t>KRONOBERGS LÄN</t>
        </is>
      </c>
      <c r="G334" t="inlineStr">
        <is>
          <t>ALVESTA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46326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46326</v>
      </c>
      <c r="F336" t="inlineStr">
        <is>
          <t>KRONOBERGS LÄN</t>
        </is>
      </c>
      <c r="G336" t="inlineStr">
        <is>
          <t>ALVESTA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45706</v>
      </c>
      <c r="E337" s="1" t="n">
        <v>46326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46326</v>
      </c>
      <c r="F338" t="inlineStr">
        <is>
          <t>KRONOBERGS LÄN</t>
        </is>
      </c>
      <c r="G338" t="inlineStr">
        <is>
          <t>ALVESTA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45436</v>
      </c>
      <c r="E339" s="1" t="n">
        <v>46326</v>
      </c>
      <c r="F339" t="inlineStr">
        <is>
          <t>KRONOBERGS LÄN</t>
        </is>
      </c>
      <c r="G339" t="inlineStr">
        <is>
          <t>ALVESTA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65092-2023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45288</v>
      </c>
      <c r="E340" s="1" t="n">
        <v>46326</v>
      </c>
      <c r="F340" t="inlineStr">
        <is>
          <t>KRONOBERGS LÄN</t>
        </is>
      </c>
      <c r="G340" t="inlineStr">
        <is>
          <t>ALVESTA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45198</v>
      </c>
      <c r="E341" s="1" t="n">
        <v>46326</v>
      </c>
      <c r="F341" t="inlineStr">
        <is>
          <t>KRONOBERGS LÄN</t>
        </is>
      </c>
      <c r="G341" t="inlineStr">
        <is>
          <t>ALVESTA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45359</v>
      </c>
      <c r="E342" s="1" t="n">
        <v>46326</v>
      </c>
      <c r="F342" t="inlineStr">
        <is>
          <t>KRONOBERGS LÄN</t>
        </is>
      </c>
      <c r="G342" t="inlineStr">
        <is>
          <t>ALVESTA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46326</v>
      </c>
      <c r="F343" t="inlineStr">
        <is>
          <t>KRONOBERGS LÄN</t>
        </is>
      </c>
      <c r="G343" t="inlineStr">
        <is>
          <t>ALVESTA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46326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45478</v>
      </c>
      <c r="E345" s="1" t="n">
        <v>46326</v>
      </c>
      <c r="F345" t="inlineStr">
        <is>
          <t>KRONOBERGS LÄN</t>
        </is>
      </c>
      <c r="G345" t="inlineStr">
        <is>
          <t>ALVESTA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46326</v>
      </c>
      <c r="F346" t="inlineStr">
        <is>
          <t>KRONOBERGS LÄN</t>
        </is>
      </c>
      <c r="G346" t="inlineStr">
        <is>
          <t>ALVESTA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45362</v>
      </c>
      <c r="E347" s="1" t="n">
        <v>46326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46326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46122</v>
      </c>
      <c r="E349" s="1" t="n">
        <v>46326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46326</v>
      </c>
      <c r="F350" t="inlineStr">
        <is>
          <t>KRONOBERGS LÄN</t>
        </is>
      </c>
      <c r="G350" t="inlineStr">
        <is>
          <t>ALVESTA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46122</v>
      </c>
      <c r="E351" s="1" t="n">
        <v>46326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46326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17801-2026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46122</v>
      </c>
      <c r="E353" s="1" t="n">
        <v>46326</v>
      </c>
      <c r="F353" t="inlineStr">
        <is>
          <t>KRONOBERGS LÄN</t>
        </is>
      </c>
      <c r="G353" t="inlineStr">
        <is>
          <t>ALVESTA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44635</v>
      </c>
      <c r="E354" s="1" t="n">
        <v>46326</v>
      </c>
      <c r="F354" t="inlineStr">
        <is>
          <t>KRONOBERGS LÄN</t>
        </is>
      </c>
      <c r="G354" t="inlineStr">
        <is>
          <t>ALVESTA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46326</v>
      </c>
      <c r="F355" t="inlineStr">
        <is>
          <t>KRONOBERGS LÄN</t>
        </is>
      </c>
      <c r="G355" t="inlineStr">
        <is>
          <t>ALVESTA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46326</v>
      </c>
      <c r="F356" t="inlineStr">
        <is>
          <t>KRONOBERGS LÄN</t>
        </is>
      </c>
      <c r="G356" t="inlineStr">
        <is>
          <t>ALVESTA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45136</v>
      </c>
      <c r="E357" s="1" t="n">
        <v>46326</v>
      </c>
      <c r="F357" t="inlineStr">
        <is>
          <t>KRONOBERGS LÄN</t>
        </is>
      </c>
      <c r="G357" t="inlineStr">
        <is>
          <t>ALVESTA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46326</v>
      </c>
      <c r="F358" t="inlineStr">
        <is>
          <t>KRONOBERGS LÄN</t>
        </is>
      </c>
      <c r="G358" t="inlineStr">
        <is>
          <t>ALVESTA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46326</v>
      </c>
      <c r="F359" t="inlineStr">
        <is>
          <t>KRONOBERGS LÄN</t>
        </is>
      </c>
      <c r="G359" t="inlineStr">
        <is>
          <t>ALVESTA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46326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45722</v>
      </c>
      <c r="E361" s="1" t="n">
        <v>46326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46326</v>
      </c>
      <c r="F362" t="inlineStr">
        <is>
          <t>KRONOBERGS LÄN</t>
        </is>
      </c>
      <c r="G362" t="inlineStr">
        <is>
          <t>ALVESTA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46326</v>
      </c>
      <c r="F363" t="inlineStr">
        <is>
          <t>KRONOBERGS LÄN</t>
        </is>
      </c>
      <c r="G363" t="inlineStr">
        <is>
          <t>ALVESTA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46326</v>
      </c>
      <c r="F364" t="inlineStr">
        <is>
          <t>KRONOBERGS LÄN</t>
        </is>
      </c>
      <c r="G364" t="inlineStr">
        <is>
          <t>ALVESTA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14969-2022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46326</v>
      </c>
      <c r="F365" t="inlineStr">
        <is>
          <t>KRONOBERGS LÄN</t>
        </is>
      </c>
      <c r="G365" t="inlineStr">
        <is>
          <t>ALVESTA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60760-2022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44914</v>
      </c>
      <c r="E366" s="1" t="n">
        <v>46326</v>
      </c>
      <c r="F366" t="inlineStr">
        <is>
          <t>KRONOBERGS LÄN</t>
        </is>
      </c>
      <c r="G366" t="inlineStr">
        <is>
          <t>ALVESTA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45128</v>
      </c>
      <c r="E367" s="1" t="n">
        <v>46326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46326</v>
      </c>
      <c r="F368" t="inlineStr">
        <is>
          <t>KRONOBERGS LÄN</t>
        </is>
      </c>
      <c r="G368" t="inlineStr">
        <is>
          <t>ALVESTA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45692</v>
      </c>
      <c r="E369" s="1" t="n">
        <v>46326</v>
      </c>
      <c r="F369" t="inlineStr">
        <is>
          <t>KRONOBERGS LÄN</t>
        </is>
      </c>
      <c r="G369" t="inlineStr">
        <is>
          <t>ALVESTA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45300</v>
      </c>
      <c r="E370" s="1" t="n">
        <v>46326</v>
      </c>
      <c r="F370" t="inlineStr">
        <is>
          <t>KRONOBERGS LÄN</t>
        </is>
      </c>
      <c r="G370" t="inlineStr">
        <is>
          <t>ALVESTA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46326</v>
      </c>
      <c r="F371" t="inlineStr">
        <is>
          <t>KRONOBERGS LÄN</t>
        </is>
      </c>
      <c r="G371" t="inlineStr">
        <is>
          <t>ALVESTA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46326</v>
      </c>
      <c r="F372" t="inlineStr">
        <is>
          <t>KRONOBERGS LÄN</t>
        </is>
      </c>
      <c r="G372" t="inlineStr">
        <is>
          <t>ALVESTA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16355-2024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45407</v>
      </c>
      <c r="E373" s="1" t="n">
        <v>46326</v>
      </c>
      <c r="F373" t="inlineStr">
        <is>
          <t>KRONOBERGS LÄN</t>
        </is>
      </c>
      <c r="G373" t="inlineStr">
        <is>
          <t>ALVESTA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46326</v>
      </c>
      <c r="F374" t="inlineStr">
        <is>
          <t>KRONOBERGS LÄN</t>
        </is>
      </c>
      <c r="G374" t="inlineStr">
        <is>
          <t>ALVESTA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46326</v>
      </c>
      <c r="F375" t="inlineStr">
        <is>
          <t>KRONOBERGS LÄN</t>
        </is>
      </c>
      <c r="G375" t="inlineStr">
        <is>
          <t>ALVESTA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45471</v>
      </c>
      <c r="E376" s="1" t="n">
        <v>46326</v>
      </c>
      <c r="F376" t="inlineStr">
        <is>
          <t>KRONOBERGS LÄN</t>
        </is>
      </c>
      <c r="G376" t="inlineStr">
        <is>
          <t>ALVESTA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44951</v>
      </c>
      <c r="E377" s="1" t="n">
        <v>46326</v>
      </c>
      <c r="F377" t="inlineStr">
        <is>
          <t>KRONOBERGS LÄN</t>
        </is>
      </c>
      <c r="G377" t="inlineStr">
        <is>
          <t>ALVESTA</t>
        </is>
      </c>
      <c r="I377" t="n">
        <v>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46326</v>
      </c>
      <c r="F378" t="inlineStr">
        <is>
          <t>KRONOBERGS LÄN</t>
        </is>
      </c>
      <c r="G378" t="inlineStr">
        <is>
          <t>ALVESTA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45635</v>
      </c>
      <c r="E379" s="1" t="n">
        <v>46326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45338</v>
      </c>
      <c r="E380" s="1" t="n">
        <v>46326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46326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50689-2023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46326</v>
      </c>
      <c r="F382" t="inlineStr">
        <is>
          <t>KRONOBERGS LÄN</t>
        </is>
      </c>
      <c r="G382" t="inlineStr">
        <is>
          <t>ALVESTA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46326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45366</v>
      </c>
      <c r="E384" s="1" t="n">
        <v>46326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45324</v>
      </c>
      <c r="E385" s="1" t="n">
        <v>46326</v>
      </c>
      <c r="F385" t="inlineStr">
        <is>
          <t>KRONOBERGS LÄN</t>
        </is>
      </c>
      <c r="G385" t="inlineStr">
        <is>
          <t>ALVESTA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46326</v>
      </c>
      <c r="F386" t="inlineStr">
        <is>
          <t>KRONOBERGS LÄN</t>
        </is>
      </c>
      <c r="G386" t="inlineStr">
        <is>
          <t>ALVESTA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46326</v>
      </c>
      <c r="F387" t="inlineStr">
        <is>
          <t>KRONOBERGS LÄN</t>
        </is>
      </c>
      <c r="G387" t="inlineStr">
        <is>
          <t>ALVESTA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45827</v>
      </c>
      <c r="E388" s="1" t="n">
        <v>46326</v>
      </c>
      <c r="F388" t="inlineStr">
        <is>
          <t>KRONOBERGS LÄN</t>
        </is>
      </c>
      <c r="G388" t="inlineStr">
        <is>
          <t>ALVESTA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46139</v>
      </c>
      <c r="E389" s="1" t="n">
        <v>46326</v>
      </c>
      <c r="F389" t="inlineStr">
        <is>
          <t>KRONOBERGS LÄN</t>
        </is>
      </c>
      <c r="G389" t="inlineStr">
        <is>
          <t>ALVESTA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28225-2025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45818</v>
      </c>
      <c r="E390" s="1" t="n">
        <v>46326</v>
      </c>
      <c r="F390" t="inlineStr">
        <is>
          <t>KRONOBERGS LÄN</t>
        </is>
      </c>
      <c r="G390" t="inlineStr">
        <is>
          <t>ALVESTA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46326</v>
      </c>
      <c r="F391" t="inlineStr">
        <is>
          <t>KRONOBERGS LÄN</t>
        </is>
      </c>
      <c r="G391" t="inlineStr">
        <is>
          <t>ALVESTA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46326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62230-2023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46326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46326</v>
      </c>
      <c r="F394" t="inlineStr">
        <is>
          <t>KRONOBERGS LÄN</t>
        </is>
      </c>
      <c r="G394" t="inlineStr">
        <is>
          <t>ALVESTA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46326</v>
      </c>
      <c r="F395" t="inlineStr">
        <is>
          <t>KRONOBERGS LÄN</t>
        </is>
      </c>
      <c r="G395" t="inlineStr">
        <is>
          <t>ALVESTA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46326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45909</v>
      </c>
      <c r="E397" s="1" t="n">
        <v>46326</v>
      </c>
      <c r="F397" t="inlineStr">
        <is>
          <t>KRONOBERGS LÄN</t>
        </is>
      </c>
      <c r="G397" t="inlineStr">
        <is>
          <t>ALVESTA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45666</v>
      </c>
      <c r="E398" s="1" t="n">
        <v>46326</v>
      </c>
      <c r="F398" t="inlineStr">
        <is>
          <t>KRONOBERGS LÄN</t>
        </is>
      </c>
      <c r="G398" t="inlineStr">
        <is>
          <t>ALVESTA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45856</v>
      </c>
      <c r="E399" s="1" t="n">
        <v>46326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35601-2025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45858</v>
      </c>
      <c r="E400" s="1" t="n">
        <v>46326</v>
      </c>
      <c r="F400" t="inlineStr">
        <is>
          <t>KRONOBERGS LÄN</t>
        </is>
      </c>
      <c r="G400" t="inlineStr">
        <is>
          <t>ALVESTA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46136</v>
      </c>
      <c r="E401" s="1" t="n">
        <v>46326</v>
      </c>
      <c r="F401" t="inlineStr">
        <is>
          <t>KRONOBERGS LÄN</t>
        </is>
      </c>
      <c r="G401" t="inlineStr">
        <is>
          <t>ALVESTA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45135</v>
      </c>
      <c r="E402" s="1" t="n">
        <v>46326</v>
      </c>
      <c r="F402" t="inlineStr">
        <is>
          <t>KRONOBERGS LÄN</t>
        </is>
      </c>
      <c r="G402" t="inlineStr">
        <is>
          <t>ALVESTA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45090</v>
      </c>
      <c r="E403" s="1" t="n">
        <v>46326</v>
      </c>
      <c r="F403" t="inlineStr">
        <is>
          <t>KRONOBERGS LÄN</t>
        </is>
      </c>
      <c r="G403" t="inlineStr">
        <is>
          <t>ALVESTA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45236</v>
      </c>
      <c r="E404" s="1" t="n">
        <v>46326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45728</v>
      </c>
      <c r="E405" s="1" t="n">
        <v>46326</v>
      </c>
      <c r="F405" t="inlineStr">
        <is>
          <t>KRONOBERGS LÄN</t>
        </is>
      </c>
      <c r="G405" t="inlineStr">
        <is>
          <t>ALVESTA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46326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46326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33110-2025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45840</v>
      </c>
      <c r="E408" s="1" t="n">
        <v>46326</v>
      </c>
      <c r="F408" t="inlineStr">
        <is>
          <t>KRONOBERGS LÄN</t>
        </is>
      </c>
      <c r="G408" t="inlineStr">
        <is>
          <t>ALVESTA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32978-2023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46326</v>
      </c>
      <c r="F409" t="inlineStr">
        <is>
          <t>KRONOBERGS LÄN</t>
        </is>
      </c>
      <c r="G409" t="inlineStr">
        <is>
          <t>ALVESTA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45254</v>
      </c>
      <c r="E410" s="1" t="n">
        <v>46326</v>
      </c>
      <c r="F410" t="inlineStr">
        <is>
          <t>KRONOBERGS LÄN</t>
        </is>
      </c>
      <c r="G410" t="inlineStr">
        <is>
          <t>ALVESTA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45349</v>
      </c>
      <c r="E411" s="1" t="n">
        <v>46326</v>
      </c>
      <c r="F411" t="inlineStr">
        <is>
          <t>KRONOBERGS LÄN</t>
        </is>
      </c>
      <c r="G411" t="inlineStr">
        <is>
          <t>ALVESTA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56589-2022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44893</v>
      </c>
      <c r="E412" s="1" t="n">
        <v>46326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46326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12818-2025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45733</v>
      </c>
      <c r="E414" s="1" t="n">
        <v>46326</v>
      </c>
      <c r="F414" t="inlineStr">
        <is>
          <t>KRONOBERGS LÄN</t>
        </is>
      </c>
      <c r="G414" t="inlineStr">
        <is>
          <t>ALVESTA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46326</v>
      </c>
      <c r="F415" t="inlineStr">
        <is>
          <t>KRONOBERGS LÄN</t>
        </is>
      </c>
      <c r="G415" t="inlineStr">
        <is>
          <t>ALVESTA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42905-2023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45182</v>
      </c>
      <c r="E416" s="1" t="n">
        <v>46326</v>
      </c>
      <c r="F416" t="inlineStr">
        <is>
          <t>KRONOBERGS LÄN</t>
        </is>
      </c>
      <c r="G416" t="inlineStr">
        <is>
          <t>ALVESTA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45476</v>
      </c>
      <c r="E417" s="1" t="n">
        <v>46326</v>
      </c>
      <c r="F417" t="inlineStr">
        <is>
          <t>KRONOBERGS LÄN</t>
        </is>
      </c>
      <c r="G417" t="inlineStr">
        <is>
          <t>ALVESTA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39263-2023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45166</v>
      </c>
      <c r="E418" s="1" t="n">
        <v>46326</v>
      </c>
      <c r="F418" t="inlineStr">
        <is>
          <t>KRONOBERGS LÄN</t>
        </is>
      </c>
      <c r="G418" t="inlineStr">
        <is>
          <t>ALVESTA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46326</v>
      </c>
      <c r="F419" t="inlineStr">
        <is>
          <t>KRONOBERGS LÄN</t>
        </is>
      </c>
      <c r="G419" t="inlineStr">
        <is>
          <t>ALVESTA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45155</v>
      </c>
      <c r="E420" s="1" t="n">
        <v>46326</v>
      </c>
      <c r="F420" t="inlineStr">
        <is>
          <t>KRONOBERGS LÄN</t>
        </is>
      </c>
      <c r="G420" t="inlineStr">
        <is>
          <t>ALVESTA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44935</v>
      </c>
      <c r="E421" s="1" t="n">
        <v>46326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26621-2022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44739</v>
      </c>
      <c r="E422" s="1" t="n">
        <v>46326</v>
      </c>
      <c r="F422" t="inlineStr">
        <is>
          <t>KRONOBERGS LÄN</t>
        </is>
      </c>
      <c r="G422" t="inlineStr">
        <is>
          <t>ALVESTA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46326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46326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46326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46326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40612-2025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45896</v>
      </c>
      <c r="E427" s="1" t="n">
        <v>46326</v>
      </c>
      <c r="F427" t="inlineStr">
        <is>
          <t>KRONOBERGS LÄN</t>
        </is>
      </c>
      <c r="G427" t="inlineStr">
        <is>
          <t>ALVESTA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45005</v>
      </c>
      <c r="E428" s="1" t="n">
        <v>46326</v>
      </c>
      <c r="F428" t="inlineStr">
        <is>
          <t>KRONOBERGS LÄN</t>
        </is>
      </c>
      <c r="G428" t="inlineStr">
        <is>
          <t>ALVESTA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46326</v>
      </c>
      <c r="F429" t="inlineStr">
        <is>
          <t>KRONOBERGS LÄN</t>
        </is>
      </c>
      <c r="G429" t="inlineStr">
        <is>
          <t>ALVESTA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45218</v>
      </c>
      <c r="E430" s="1" t="n">
        <v>46326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45903</v>
      </c>
      <c r="E431" s="1" t="n">
        <v>46326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10858-2023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44991</v>
      </c>
      <c r="E432" s="1" t="n">
        <v>46326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44868</v>
      </c>
      <c r="E433" s="1" t="n">
        <v>46326</v>
      </c>
      <c r="F433" t="inlineStr">
        <is>
          <t>KRONOBERGS LÄN</t>
        </is>
      </c>
      <c r="G433" t="inlineStr">
        <is>
          <t>ALVESTA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45959</v>
      </c>
      <c r="E434" s="1" t="n">
        <v>46326</v>
      </c>
      <c r="F434" t="inlineStr">
        <is>
          <t>KRONOBERGS LÄN</t>
        </is>
      </c>
      <c r="G434" t="inlineStr">
        <is>
          <t>ALVESTA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6479-2022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44601</v>
      </c>
      <c r="E435" s="1" t="n">
        <v>46326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46326</v>
      </c>
      <c r="F436" t="inlineStr">
        <is>
          <t>KRONOBERGS LÄN</t>
        </is>
      </c>
      <c r="G436" t="inlineStr">
        <is>
          <t>ALVESTA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18845-2024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45426</v>
      </c>
      <c r="E437" s="1" t="n">
        <v>46326</v>
      </c>
      <c r="F437" t="inlineStr">
        <is>
          <t>KRONOBERGS LÄN</t>
        </is>
      </c>
      <c r="G437" t="inlineStr">
        <is>
          <t>ALVESTA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45068</v>
      </c>
      <c r="E438" s="1" t="n">
        <v>46326</v>
      </c>
      <c r="F438" t="inlineStr">
        <is>
          <t>KRONOBERGS LÄN</t>
        </is>
      </c>
      <c r="G438" t="inlineStr">
        <is>
          <t>ALVESTA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46326</v>
      </c>
      <c r="F439" t="inlineStr">
        <is>
          <t>KRONOBERGS LÄN</t>
        </is>
      </c>
      <c r="G439" t="inlineStr">
        <is>
          <t>ALVESTA</t>
        </is>
      </c>
      <c r="I439" t="n">
        <v>10.2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46326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46326</v>
      </c>
      <c r="F441" t="inlineStr">
        <is>
          <t>KRONOBERGS LÄN</t>
        </is>
      </c>
      <c r="G441" t="inlineStr">
        <is>
          <t>ALVESTA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46326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46326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45680</v>
      </c>
      <c r="E444" s="1" t="n">
        <v>46326</v>
      </c>
      <c r="F444" t="inlineStr">
        <is>
          <t>KRONOBERGS LÄN</t>
        </is>
      </c>
      <c r="G444" t="inlineStr">
        <is>
          <t>ALVESTA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45305</v>
      </c>
      <c r="E445" s="1" t="n">
        <v>46326</v>
      </c>
      <c r="F445" t="inlineStr">
        <is>
          <t>KRONOBERGS LÄN</t>
        </is>
      </c>
      <c r="G445" t="inlineStr">
        <is>
          <t>ALVESTA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24419-2026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46169</v>
      </c>
      <c r="E446" s="1" t="n">
        <v>46326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24420-2026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46169</v>
      </c>
      <c r="E447" s="1" t="n">
        <v>46326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46326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24446-2026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46326</v>
      </c>
      <c r="F449" t="inlineStr">
        <is>
          <t>KRONOBERGS LÄN</t>
        </is>
      </c>
      <c r="G449" t="inlineStr">
        <is>
          <t>ALVESTA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46326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38899-2024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45547</v>
      </c>
      <c r="E451" s="1" t="n">
        <v>46326</v>
      </c>
      <c r="F451" t="inlineStr">
        <is>
          <t>KRONOBERGS LÄN</t>
        </is>
      </c>
      <c r="G451" t="inlineStr">
        <is>
          <t>ALVESTA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46326</v>
      </c>
      <c r="F452" t="inlineStr">
        <is>
          <t>KRONOBERGS LÄN</t>
        </is>
      </c>
      <c r="G452" t="inlineStr">
        <is>
          <t>ALVESTA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53226-2024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45613</v>
      </c>
      <c r="E453" s="1" t="n">
        <v>46326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46175</v>
      </c>
      <c r="E454" s="1" t="n">
        <v>46326</v>
      </c>
      <c r="F454" t="inlineStr">
        <is>
          <t>KRONOBERGS LÄN</t>
        </is>
      </c>
      <c r="G454" t="inlineStr">
        <is>
          <t>ALVESTA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24692-2026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46171</v>
      </c>
      <c r="E455" s="1" t="n">
        <v>46326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33113-2023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46326</v>
      </c>
      <c r="F456" t="inlineStr">
        <is>
          <t>KRONOBERGS LÄN</t>
        </is>
      </c>
      <c r="G456" t="inlineStr">
        <is>
          <t>ALVESTA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46326</v>
      </c>
      <c r="F457" t="inlineStr">
        <is>
          <t>KRONOBERGS LÄN</t>
        </is>
      </c>
      <c r="G457" t="inlineStr">
        <is>
          <t>ALVESTA</t>
        </is>
      </c>
      <c r="H457" t="inlineStr">
        <is>
          <t>Kommuner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46326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44943</v>
      </c>
      <c r="E459" s="1" t="n">
        <v>46326</v>
      </c>
      <c r="F459" t="inlineStr">
        <is>
          <t>KRONOBERGS LÄN</t>
        </is>
      </c>
      <c r="G459" t="inlineStr">
        <is>
          <t>ALVESTA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9687-2024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45362</v>
      </c>
      <c r="E460" s="1" t="n">
        <v>46326</v>
      </c>
      <c r="F460" t="inlineStr">
        <is>
          <t>KRONOBERGS LÄN</t>
        </is>
      </c>
      <c r="G460" t="inlineStr">
        <is>
          <t>ALVESTA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45644</v>
      </c>
      <c r="E461" s="1" t="n">
        <v>46326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25567-2026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46177</v>
      </c>
      <c r="E462" s="1" t="n">
        <v>46326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44995</v>
      </c>
      <c r="E463" s="1" t="n">
        <v>46326</v>
      </c>
      <c r="F463" t="inlineStr">
        <is>
          <t>KRONOBERGS LÄN</t>
        </is>
      </c>
      <c r="G463" t="inlineStr">
        <is>
          <t>ALVESTA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46326</v>
      </c>
      <c r="F464" t="inlineStr">
        <is>
          <t>KRONOBERGS LÄN</t>
        </is>
      </c>
      <c r="G464" t="inlineStr">
        <is>
          <t>ALVESTA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45267</v>
      </c>
      <c r="E465" s="1" t="n">
        <v>46326</v>
      </c>
      <c r="F465" t="inlineStr">
        <is>
          <t>KRONOBERGS LÄN</t>
        </is>
      </c>
      <c r="G465" t="inlineStr">
        <is>
          <t>ALVESTA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46326</v>
      </c>
      <c r="F466" t="inlineStr">
        <is>
          <t>KRONOBERGS LÄN</t>
        </is>
      </c>
      <c r="G466" t="inlineStr">
        <is>
          <t>ALVESTA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45092</v>
      </c>
      <c r="E467" s="1" t="n">
        <v>46326</v>
      </c>
      <c r="F467" t="inlineStr">
        <is>
          <t>KRONOBERGS LÄN</t>
        </is>
      </c>
      <c r="G467" t="inlineStr">
        <is>
          <t>ALVESTA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46326</v>
      </c>
      <c r="F468" t="inlineStr">
        <is>
          <t>KRONOBERGS LÄN</t>
        </is>
      </c>
      <c r="G468" t="inlineStr">
        <is>
          <t>ALVESTA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27282-2026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46326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27077-2026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46186</v>
      </c>
      <c r="E470" s="1" t="n">
        <v>46326</v>
      </c>
      <c r="F470" t="inlineStr">
        <is>
          <t>KRONOBERGS LÄN</t>
        </is>
      </c>
      <c r="G470" t="inlineStr">
        <is>
          <t>ALVESTA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38890-2023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46326</v>
      </c>
      <c r="F471" t="inlineStr">
        <is>
          <t>KRONOBERGS LÄN</t>
        </is>
      </c>
      <c r="G471" t="inlineStr">
        <is>
          <t>ALVESTA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27032-2026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46185</v>
      </c>
      <c r="E472" s="1" t="n">
        <v>46326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45524</v>
      </c>
      <c r="E473" s="1" t="n">
        <v>46326</v>
      </c>
      <c r="F473" t="inlineStr">
        <is>
          <t>KRONOBERGS LÄN</t>
        </is>
      </c>
      <c r="G473" t="inlineStr">
        <is>
          <t>ALVESTA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53917-2022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44880</v>
      </c>
      <c r="E474" s="1" t="n">
        <v>46326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59492-2022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44907</v>
      </c>
      <c r="E475" s="1" t="n">
        <v>46326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42411-2023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46326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45210</v>
      </c>
      <c r="E477" s="1" t="n">
        <v>46326</v>
      </c>
      <c r="F477" t="inlineStr">
        <is>
          <t>KRONOBERGS LÄN</t>
        </is>
      </c>
      <c r="G477" t="inlineStr">
        <is>
          <t>ALVESTA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45385</v>
      </c>
      <c r="E478" s="1" t="n">
        <v>46326</v>
      </c>
      <c r="F478" t="inlineStr">
        <is>
          <t>KRONOBERGS LÄN</t>
        </is>
      </c>
      <c r="G478" t="inlineStr">
        <is>
          <t>ALVESTA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45358</v>
      </c>
      <c r="E479" s="1" t="n">
        <v>46326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46326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46326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62645-2022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44925</v>
      </c>
      <c r="E482" s="1" t="n">
        <v>46326</v>
      </c>
      <c r="F482" t="inlineStr">
        <is>
          <t>KRONOBERGS LÄN</t>
        </is>
      </c>
      <c r="G482" t="inlineStr">
        <is>
          <t>ALVESTA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45302</v>
      </c>
      <c r="E483" s="1" t="n">
        <v>46326</v>
      </c>
      <c r="F483" t="inlineStr">
        <is>
          <t>KRONOBERGS LÄN</t>
        </is>
      </c>
      <c r="G483" t="inlineStr">
        <is>
          <t>ALVESTA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37839-2024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46326</v>
      </c>
      <c r="F484" t="inlineStr">
        <is>
          <t>KRONOBERGS LÄN</t>
        </is>
      </c>
      <c r="G484" t="inlineStr">
        <is>
          <t>ALVESTA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16781-2023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45032</v>
      </c>
      <c r="E485" s="1" t="n">
        <v>46326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46326</v>
      </c>
      <c r="F486" t="inlineStr">
        <is>
          <t>KRONOBERGS LÄN</t>
        </is>
      </c>
      <c r="G486" t="inlineStr">
        <is>
          <t>ALVESTA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45128</v>
      </c>
      <c r="E487" s="1" t="n">
        <v>46326</v>
      </c>
      <c r="F487" t="inlineStr">
        <is>
          <t>KRONOBERGS LÄN</t>
        </is>
      </c>
      <c r="G487" t="inlineStr">
        <is>
          <t>ALVESTA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46326</v>
      </c>
      <c r="F488" t="inlineStr">
        <is>
          <t>KRONOBERGS LÄN</t>
        </is>
      </c>
      <c r="G488" t="inlineStr">
        <is>
          <t>ALVESTA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46326</v>
      </c>
      <c r="F489" t="inlineStr">
        <is>
          <t>KRONOBERGS LÄN</t>
        </is>
      </c>
      <c r="G489" t="inlineStr">
        <is>
          <t>ALVESTA</t>
        </is>
      </c>
      <c r="I489" t="n">
        <v>10.4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46326</v>
      </c>
      <c r="F490" t="inlineStr">
        <is>
          <t>KRONOBERGS LÄN</t>
        </is>
      </c>
      <c r="G490" t="inlineStr">
        <is>
          <t>ALVESTA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45744</v>
      </c>
      <c r="E491" s="1" t="n">
        <v>46326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46326</v>
      </c>
      <c r="F492" t="inlineStr">
        <is>
          <t>KRONOBERGS LÄN</t>
        </is>
      </c>
      <c r="G492" t="inlineStr">
        <is>
          <t>ALVESTA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28336-2022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44747</v>
      </c>
      <c r="E493" s="1" t="n">
        <v>46326</v>
      </c>
      <c r="F493" t="inlineStr">
        <is>
          <t>KRONOBERGS LÄN</t>
        </is>
      </c>
      <c r="G493" t="inlineStr">
        <is>
          <t>ALVESTA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46326</v>
      </c>
      <c r="F494" t="inlineStr">
        <is>
          <t>KRONOBERGS LÄN</t>
        </is>
      </c>
      <c r="G494" t="inlineStr">
        <is>
          <t>ALVESTA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46326</v>
      </c>
      <c r="F495" t="inlineStr">
        <is>
          <t>KRONOBERGS LÄN</t>
        </is>
      </c>
      <c r="G495" t="inlineStr">
        <is>
          <t>ALVESTA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44581</v>
      </c>
      <c r="E496" s="1" t="n">
        <v>46326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46326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30314-2026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46326</v>
      </c>
      <c r="F498" t="inlineStr">
        <is>
          <t>KRONOBERGS LÄN</t>
        </is>
      </c>
      <c r="G498" t="inlineStr">
        <is>
          <t>ALVESTA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45329</v>
      </c>
      <c r="E499" s="1" t="n">
        <v>46326</v>
      </c>
      <c r="F499" t="inlineStr">
        <is>
          <t>KRONOBERGS LÄN</t>
        </is>
      </c>
      <c r="G499" t="inlineStr">
        <is>
          <t>ALVESTA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34149-2023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45136</v>
      </c>
      <c r="E500" s="1" t="n">
        <v>46326</v>
      </c>
      <c r="F500" t="inlineStr">
        <is>
          <t>KRONOBERGS LÄN</t>
        </is>
      </c>
      <c r="G500" t="inlineStr">
        <is>
          <t>ALVESTA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20609-2024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46326</v>
      </c>
      <c r="F501" t="inlineStr">
        <is>
          <t>KRONOBERGS LÄN</t>
        </is>
      </c>
      <c r="G501" t="inlineStr">
        <is>
          <t>ALVESTA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46209</v>
      </c>
      <c r="E502" s="1" t="n">
        <v>46326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46326</v>
      </c>
      <c r="F503" t="inlineStr">
        <is>
          <t>KRONOBERGS LÄN</t>
        </is>
      </c>
      <c r="G503" t="inlineStr">
        <is>
          <t>ALVESTA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46326</v>
      </c>
      <c r="F504" t="inlineStr">
        <is>
          <t>KRONOBERGS LÄN</t>
        </is>
      </c>
      <c r="G504" t="inlineStr">
        <is>
          <t>ALVESTA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49407-2024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46326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46326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45146</v>
      </c>
      <c r="E507" s="1" t="n">
        <v>46326</v>
      </c>
      <c r="F507" t="inlineStr">
        <is>
          <t>KRONOBERGS LÄN</t>
        </is>
      </c>
      <c r="G507" t="inlineStr">
        <is>
          <t>ALVESTA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5166-2024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45330</v>
      </c>
      <c r="E508" s="1" t="n">
        <v>46326</v>
      </c>
      <c r="F508" t="inlineStr">
        <is>
          <t>KRONOBERGS LÄN</t>
        </is>
      </c>
      <c r="G508" t="inlineStr">
        <is>
          <t>ALVESTA</t>
        </is>
      </c>
      <c r="H508" t="inlineStr">
        <is>
          <t>Övriga Aktiebolag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26225-2022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44735</v>
      </c>
      <c r="E509" s="1" t="n">
        <v>46326</v>
      </c>
      <c r="F509" t="inlineStr">
        <is>
          <t>KRONOBERGS LÄN</t>
        </is>
      </c>
      <c r="G509" t="inlineStr">
        <is>
          <t>ALVESTA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45618</v>
      </c>
      <c r="E510" s="1" t="n">
        <v>46326</v>
      </c>
      <c r="F510" t="inlineStr">
        <is>
          <t>KRONOBERGS LÄN</t>
        </is>
      </c>
      <c r="G510" t="inlineStr">
        <is>
          <t>ALVESTA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52082-2024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46326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46326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57121-2022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44895</v>
      </c>
      <c r="E513" s="1" t="n">
        <v>46326</v>
      </c>
      <c r="F513" t="inlineStr">
        <is>
          <t>KRONOBERGS LÄN</t>
        </is>
      </c>
      <c r="G513" t="inlineStr">
        <is>
          <t>ALVESTA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33352-2024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46326</v>
      </c>
      <c r="F514" t="inlineStr">
        <is>
          <t>KRONOBERGS LÄN</t>
        </is>
      </c>
      <c r="G514" t="inlineStr">
        <is>
          <t>ALVESTA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18677-2025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45763</v>
      </c>
      <c r="E515" s="1" t="n">
        <v>46326</v>
      </c>
      <c r="F515" t="inlineStr">
        <is>
          <t>KRONOBERGS LÄN</t>
        </is>
      </c>
      <c r="G515" t="inlineStr">
        <is>
          <t>ALVESTA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45336</v>
      </c>
      <c r="E516" s="1" t="n">
        <v>46326</v>
      </c>
      <c r="F516" t="inlineStr">
        <is>
          <t>KRONOBERGS LÄN</t>
        </is>
      </c>
      <c r="G516" t="inlineStr">
        <is>
          <t>ALVESTA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72318-2021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44545</v>
      </c>
      <c r="E517" s="1" t="n">
        <v>46326</v>
      </c>
      <c r="F517" t="inlineStr">
        <is>
          <t>KRONOBERGS LÄN</t>
        </is>
      </c>
      <c r="G517" t="inlineStr">
        <is>
          <t>ALVESTA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46238</v>
      </c>
      <c r="E518" s="1" t="n">
        <v>46326</v>
      </c>
      <c r="F518" t="inlineStr">
        <is>
          <t>KRONOBERGS LÄN</t>
        </is>
      </c>
      <c r="G518" t="inlineStr">
        <is>
          <t>ALVESTA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45153</v>
      </c>
      <c r="E519" s="1" t="n">
        <v>46326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45153</v>
      </c>
      <c r="E520" s="1" t="n">
        <v>46326</v>
      </c>
      <c r="F520" t="inlineStr">
        <is>
          <t>KRONOBERGS LÄN</t>
        </is>
      </c>
      <c r="G520" t="inlineStr">
        <is>
          <t>ALVESTA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46326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38385-2022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44812</v>
      </c>
      <c r="E522" s="1" t="n">
        <v>46326</v>
      </c>
      <c r="F522" t="inlineStr">
        <is>
          <t>KRONOBERGS LÄN</t>
        </is>
      </c>
      <c r="G522" t="inlineStr">
        <is>
          <t>ALVESTA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14865-2024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45398</v>
      </c>
      <c r="E523" s="1" t="n">
        <v>46326</v>
      </c>
      <c r="F523" t="inlineStr">
        <is>
          <t>KRONOBERGS LÄN</t>
        </is>
      </c>
      <c r="G523" t="inlineStr">
        <is>
          <t>ALVESTA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46326</v>
      </c>
      <c r="F524" t="inlineStr">
        <is>
          <t>KRONOBERGS LÄN</t>
        </is>
      </c>
      <c r="G524" t="inlineStr">
        <is>
          <t>ALVESTA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38917-2026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46286</v>
      </c>
      <c r="E525" s="1" t="n">
        <v>46326</v>
      </c>
      <c r="F525" t="inlineStr">
        <is>
          <t>KRONOBERGS LÄN</t>
        </is>
      </c>
      <c r="G525" t="inlineStr">
        <is>
          <t>ALVESTA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38912-2026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46326</v>
      </c>
      <c r="F526" t="inlineStr">
        <is>
          <t>KRONOBERGS LÄN</t>
        </is>
      </c>
      <c r="G526" t="inlineStr">
        <is>
          <t>ALVESTA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38919-2026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46286</v>
      </c>
      <c r="E527" s="1" t="n">
        <v>46326</v>
      </c>
      <c r="F527" t="inlineStr">
        <is>
          <t>KRONOBERGS LÄN</t>
        </is>
      </c>
      <c r="G527" t="inlineStr">
        <is>
          <t>ALVESTA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46286</v>
      </c>
      <c r="E528" s="1" t="n">
        <v>46326</v>
      </c>
      <c r="F528" t="inlineStr">
        <is>
          <t>KRONOBERGS LÄN</t>
        </is>
      </c>
      <c r="G528" t="inlineStr">
        <is>
          <t>ALVESTA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45149</v>
      </c>
      <c r="E529" s="1" t="n">
        <v>46326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46286</v>
      </c>
      <c r="E530" s="1" t="n">
        <v>46326</v>
      </c>
      <c r="F530" t="inlineStr">
        <is>
          <t>KRONOBERGS LÄN</t>
        </is>
      </c>
      <c r="G530" t="inlineStr">
        <is>
          <t>ALVESTA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27247-2024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46326</v>
      </c>
      <c r="F531" t="inlineStr">
        <is>
          <t>KRONOBERGS LÄN</t>
        </is>
      </c>
      <c r="G531" t="inlineStr">
        <is>
          <t>ALVESTA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45471</v>
      </c>
      <c r="E532" s="1" t="n">
        <v>46326</v>
      </c>
      <c r="F532" t="inlineStr">
        <is>
          <t>KRONOBERGS LÄN</t>
        </is>
      </c>
      <c r="G532" t="inlineStr">
        <is>
          <t>ALVESTA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32952-2026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46326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61902-2024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45653</v>
      </c>
      <c r="E534" s="1" t="n">
        <v>46326</v>
      </c>
      <c r="F534" t="inlineStr">
        <is>
          <t>KRONOBERGS LÄN</t>
        </is>
      </c>
      <c r="G534" t="inlineStr">
        <is>
          <t>ALVESTA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46326</v>
      </c>
      <c r="F535" t="inlineStr">
        <is>
          <t>KRONOBERGS LÄN</t>
        </is>
      </c>
      <c r="G535" t="inlineStr">
        <is>
          <t>ALVESTA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32792-2026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46241</v>
      </c>
      <c r="E536" s="1" t="n">
        <v>46326</v>
      </c>
      <c r="F536" t="inlineStr">
        <is>
          <t>KRONOBERGS LÄN</t>
        </is>
      </c>
      <c r="G536" t="inlineStr">
        <is>
          <t>ALVESTA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46241</v>
      </c>
      <c r="E537" s="1" t="n">
        <v>46326</v>
      </c>
      <c r="F537" t="inlineStr">
        <is>
          <t>KRONOBERGS LÄN</t>
        </is>
      </c>
      <c r="G537" t="inlineStr">
        <is>
          <t>ALVESTA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46241</v>
      </c>
      <c r="E538" s="1" t="n">
        <v>46326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39033-2026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46287</v>
      </c>
      <c r="E539" s="1" t="n">
        <v>46326</v>
      </c>
      <c r="F539" t="inlineStr">
        <is>
          <t>KRONOBERGS LÄN</t>
        </is>
      </c>
      <c r="G539" t="inlineStr">
        <is>
          <t>ALVESTA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45447</v>
      </c>
      <c r="E540" s="1" t="n">
        <v>46326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46241</v>
      </c>
      <c r="E541" s="1" t="n">
        <v>46326</v>
      </c>
      <c r="F541" t="inlineStr">
        <is>
          <t>KRONOBERGS LÄN</t>
        </is>
      </c>
      <c r="G541" t="inlineStr">
        <is>
          <t>ALVESTA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46241</v>
      </c>
      <c r="E542" s="1" t="n">
        <v>46326</v>
      </c>
      <c r="F542" t="inlineStr">
        <is>
          <t>KRONOBERGS LÄN</t>
        </is>
      </c>
      <c r="G542" t="inlineStr">
        <is>
          <t>ALVESTA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46326</v>
      </c>
      <c r="F543" t="inlineStr">
        <is>
          <t>KRONOBERGS LÄN</t>
        </is>
      </c>
      <c r="G543" t="inlineStr">
        <is>
          <t>ALVESTA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46244</v>
      </c>
      <c r="E544" s="1" t="n">
        <v>46326</v>
      </c>
      <c r="F544" t="inlineStr">
        <is>
          <t>KRONOBERGS LÄN</t>
        </is>
      </c>
      <c r="G544" t="inlineStr">
        <is>
          <t>ALVESTA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37278-2024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45540</v>
      </c>
      <c r="E545" s="1" t="n">
        <v>46326</v>
      </c>
      <c r="F545" t="inlineStr">
        <is>
          <t>KRONOBERGS LÄN</t>
        </is>
      </c>
      <c r="G545" t="inlineStr">
        <is>
          <t>ALVESTA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46326</v>
      </c>
      <c r="F546" t="inlineStr">
        <is>
          <t>KRONOBERGS LÄN</t>
        </is>
      </c>
      <c r="G546" t="inlineStr">
        <is>
          <t>ALVESTA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45288</v>
      </c>
      <c r="E547" s="1" t="n">
        <v>46326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46246</v>
      </c>
      <c r="E548" s="1" t="n">
        <v>46326</v>
      </c>
      <c r="F548" t="inlineStr">
        <is>
          <t>KRONOBERGS LÄN</t>
        </is>
      </c>
      <c r="G548" t="inlineStr">
        <is>
          <t>ALVESTA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44998</v>
      </c>
      <c r="E549" s="1" t="n">
        <v>46326</v>
      </c>
      <c r="F549" t="inlineStr">
        <is>
          <t>KRONOBERGS LÄN</t>
        </is>
      </c>
      <c r="G549" t="inlineStr">
        <is>
          <t>ALVESTA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8671-2025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45712</v>
      </c>
      <c r="E550" s="1" t="n">
        <v>46326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39407-2026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46288</v>
      </c>
      <c r="E551" s="1" t="n">
        <v>46326</v>
      </c>
      <c r="F551" t="inlineStr">
        <is>
          <t>KRONOBERGS LÄN</t>
        </is>
      </c>
      <c r="G551" t="inlineStr">
        <is>
          <t>ALVESTA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39501-2024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46326</v>
      </c>
      <c r="F552" t="inlineStr">
        <is>
          <t>KRONOBERGS LÄN</t>
        </is>
      </c>
      <c r="G552" t="inlineStr">
        <is>
          <t>ALVESTA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12917-2024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45385</v>
      </c>
      <c r="E553" s="1" t="n">
        <v>46326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46326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6722-2025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45700</v>
      </c>
      <c r="E555" s="1" t="n">
        <v>46326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54116-2024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45616</v>
      </c>
      <c r="E556" s="1" t="n">
        <v>46326</v>
      </c>
      <c r="F556" t="inlineStr">
        <is>
          <t>KRONOBERGS LÄN</t>
        </is>
      </c>
      <c r="G556" t="inlineStr">
        <is>
          <t>ALVESTA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46290</v>
      </c>
      <c r="E557" s="1" t="n">
        <v>46326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45407</v>
      </c>
      <c r="E558" s="1" t="n">
        <v>46326</v>
      </c>
      <c r="F558" t="inlineStr">
        <is>
          <t>KRONOBERGS LÄN</t>
        </is>
      </c>
      <c r="G558" t="inlineStr">
        <is>
          <t>ALVESTA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17790-2024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45418</v>
      </c>
      <c r="E559" s="1" t="n">
        <v>46326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40065-2026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46293</v>
      </c>
      <c r="E560" s="1" t="n">
        <v>46326</v>
      </c>
      <c r="F560" t="inlineStr">
        <is>
          <t>KRONOBERGS LÄN</t>
        </is>
      </c>
      <c r="G560" t="inlineStr">
        <is>
          <t>ALVESTA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40083-2026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46293</v>
      </c>
      <c r="E561" s="1" t="n">
        <v>46326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46326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45456</v>
      </c>
      <c r="E563" s="1" t="n">
        <v>46326</v>
      </c>
      <c r="F563" t="inlineStr">
        <is>
          <t>KRONOBERGS LÄN</t>
        </is>
      </c>
      <c r="G563" t="inlineStr">
        <is>
          <t>ALVESTA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45363</v>
      </c>
      <c r="E564" s="1" t="n">
        <v>46326</v>
      </c>
      <c r="F564" t="inlineStr">
        <is>
          <t>KRONOBERGS LÄN</t>
        </is>
      </c>
      <c r="G564" t="inlineStr">
        <is>
          <t>ALVESTA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46326</v>
      </c>
      <c r="F565" t="inlineStr">
        <is>
          <t>KRONOBERGS LÄN</t>
        </is>
      </c>
      <c r="G565" t="inlineStr">
        <is>
          <t>ALVESTA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33946-2026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46326</v>
      </c>
      <c r="F566" t="inlineStr">
        <is>
          <t>KRONOBERGS LÄN</t>
        </is>
      </c>
      <c r="G566" t="inlineStr">
        <is>
          <t>ALVESTA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23006-2025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45790</v>
      </c>
      <c r="E567" s="1" t="n">
        <v>46326</v>
      </c>
      <c r="F567" t="inlineStr">
        <is>
          <t>KRONOBERGS LÄN</t>
        </is>
      </c>
      <c r="G567" t="inlineStr">
        <is>
          <t>ALVESTA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15063-2023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45015</v>
      </c>
      <c r="E568" s="1" t="n">
        <v>46326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37940-2024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46326</v>
      </c>
      <c r="F569" t="inlineStr">
        <is>
          <t>KRONOBERGS LÄN</t>
        </is>
      </c>
      <c r="G569" t="inlineStr">
        <is>
          <t>ALVESTA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13896-2024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45391</v>
      </c>
      <c r="E570" s="1" t="n">
        <v>46326</v>
      </c>
      <c r="F570" t="inlineStr">
        <is>
          <t>KRONOBERGS LÄN</t>
        </is>
      </c>
      <c r="G570" t="inlineStr">
        <is>
          <t>ALVESTA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45418</v>
      </c>
      <c r="E571" s="1" t="n">
        <v>46326</v>
      </c>
      <c r="F571" t="inlineStr">
        <is>
          <t>KRONOBERGS LÄN</t>
        </is>
      </c>
      <c r="G571" t="inlineStr">
        <is>
          <t>ALVESTA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46297</v>
      </c>
      <c r="E572" s="1" t="n">
        <v>46326</v>
      </c>
      <c r="F572" t="inlineStr">
        <is>
          <t>KRONOBERGS LÄN</t>
        </is>
      </c>
      <c r="G572" t="inlineStr">
        <is>
          <t>ALVESTA</t>
        </is>
      </c>
      <c r="H572" t="inlineStr">
        <is>
          <t>Övriga Aktiebolag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33222-2024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45518</v>
      </c>
      <c r="E573" s="1" t="n">
        <v>46326</v>
      </c>
      <c r="F573" t="inlineStr">
        <is>
          <t>KRONOBERGS LÄN</t>
        </is>
      </c>
      <c r="G573" t="inlineStr">
        <is>
          <t>ALVESTA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40836-2026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46296</v>
      </c>
      <c r="E574" s="1" t="n">
        <v>46326</v>
      </c>
      <c r="F574" t="inlineStr">
        <is>
          <t>KRONOBERGS LÄN</t>
        </is>
      </c>
      <c r="G574" t="inlineStr">
        <is>
          <t>ALVESTA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59340-2025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45989</v>
      </c>
      <c r="E575" s="1" t="n">
        <v>46326</v>
      </c>
      <c r="F575" t="inlineStr">
        <is>
          <t>KRONOBERGS LÄN</t>
        </is>
      </c>
      <c r="G575" t="inlineStr">
        <is>
          <t>ALVESTA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46300</v>
      </c>
      <c r="E576" s="1" t="n">
        <v>46326</v>
      </c>
      <c r="F576" t="inlineStr">
        <is>
          <t>KRONOBERGS LÄN</t>
        </is>
      </c>
      <c r="G576" t="inlineStr">
        <is>
          <t>ALVESTA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46326</v>
      </c>
      <c r="F577" t="inlineStr">
        <is>
          <t>KRONOBERGS LÄN</t>
        </is>
      </c>
      <c r="G577" t="inlineStr">
        <is>
          <t>ALVESTA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12804-2026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46326</v>
      </c>
      <c r="F578" t="inlineStr">
        <is>
          <t>KRONOBERGS LÄN</t>
        </is>
      </c>
      <c r="G578" t="inlineStr">
        <is>
          <t>ALVESTA</t>
        </is>
      </c>
      <c r="I578" t="n">
        <v>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41689-2026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46302</v>
      </c>
      <c r="E579" s="1" t="n">
        <v>46326</v>
      </c>
      <c r="F579" t="inlineStr">
        <is>
          <t>KRONOBERGS LÄN</t>
        </is>
      </c>
      <c r="G579" t="inlineStr">
        <is>
          <t>ALVESTA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41787-2026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46303</v>
      </c>
      <c r="E580" s="1" t="n">
        <v>46326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46303</v>
      </c>
      <c r="E581" s="1" t="n">
        <v>46326</v>
      </c>
      <c r="F581" t="inlineStr">
        <is>
          <t>KRONOBERGS LÄN</t>
        </is>
      </c>
      <c r="G581" t="inlineStr">
        <is>
          <t>ALVESTA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46303</v>
      </c>
      <c r="E582" s="1" t="n">
        <v>46326</v>
      </c>
      <c r="F582" t="inlineStr">
        <is>
          <t>KRONOBERGS LÄN</t>
        </is>
      </c>
      <c r="G582" t="inlineStr">
        <is>
          <t>ALVESTA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46303</v>
      </c>
      <c r="E583" s="1" t="n">
        <v>46326</v>
      </c>
      <c r="F583" t="inlineStr">
        <is>
          <t>KRONOBERGS LÄN</t>
        </is>
      </c>
      <c r="G583" t="inlineStr">
        <is>
          <t>ALVESTA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42103-2026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46304</v>
      </c>
      <c r="E584" s="1" t="n">
        <v>46326</v>
      </c>
      <c r="F584" t="inlineStr">
        <is>
          <t>KRONOBERGS LÄN</t>
        </is>
      </c>
      <c r="G584" t="inlineStr">
        <is>
          <t>ALVESTA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46309</v>
      </c>
      <c r="E585" s="1" t="n">
        <v>46326</v>
      </c>
      <c r="F585" t="inlineStr">
        <is>
          <t>KRONOBERGS LÄN</t>
        </is>
      </c>
      <c r="G585" t="inlineStr">
        <is>
          <t>ALVESTA</t>
        </is>
      </c>
      <c r="H585" t="inlineStr">
        <is>
          <t>Kommuner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46272</v>
      </c>
      <c r="E586" s="1" t="n">
        <v>46326</v>
      </c>
      <c r="F586" t="inlineStr">
        <is>
          <t>KRONOBERGS LÄN</t>
        </is>
      </c>
      <c r="G586" t="inlineStr">
        <is>
          <t>ALVESTA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43423-2026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46314</v>
      </c>
      <c r="E587" s="1" t="n">
        <v>46326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46326</v>
      </c>
      <c r="F588" t="inlineStr">
        <is>
          <t>KRONOBERGS LÄN</t>
        </is>
      </c>
      <c r="G588" t="inlineStr">
        <is>
          <t>ALVESTA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46269</v>
      </c>
      <c r="E589" s="1" t="n">
        <v>46326</v>
      </c>
      <c r="F589" t="inlineStr">
        <is>
          <t>KRONOBERGS LÄN</t>
        </is>
      </c>
      <c r="G589" t="inlineStr">
        <is>
          <t>ALVESTA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43420-2026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46314</v>
      </c>
      <c r="E590" s="1" t="n">
        <v>46326</v>
      </c>
      <c r="F590" t="inlineStr">
        <is>
          <t>KRONOBERGS LÄN</t>
        </is>
      </c>
      <c r="G590" t="inlineStr">
        <is>
          <t>ALVESTA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43427-2026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46314</v>
      </c>
      <c r="E591" s="1" t="n">
        <v>46326</v>
      </c>
      <c r="F591" t="inlineStr">
        <is>
          <t>KRONOBERGS LÄN</t>
        </is>
      </c>
      <c r="G591" t="inlineStr">
        <is>
          <t>ALVESTA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43849-2026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46316</v>
      </c>
      <c r="E592" s="1" t="n">
        <v>46326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46316</v>
      </c>
      <c r="E593" s="1" t="n">
        <v>46326</v>
      </c>
      <c r="F593" t="inlineStr">
        <is>
          <t>KRONOBERGS LÄN</t>
        </is>
      </c>
      <c r="G593" t="inlineStr">
        <is>
          <t>ALVESTA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37095-2026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46274</v>
      </c>
      <c r="E594" s="1" t="n">
        <v>46326</v>
      </c>
      <c r="F594" t="inlineStr">
        <is>
          <t>KRONOBERGS LÄN</t>
        </is>
      </c>
      <c r="G594" t="inlineStr">
        <is>
          <t>ALVESTA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46326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43740-2026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46316</v>
      </c>
      <c r="E596" s="1" t="n">
        <v>46326</v>
      </c>
      <c r="F596" t="inlineStr">
        <is>
          <t>KRONOBERGS LÄN</t>
        </is>
      </c>
      <c r="G596" t="inlineStr">
        <is>
          <t>ALVESTA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43948-2026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46317</v>
      </c>
      <c r="E597" s="1" t="n">
        <v>46326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44023-2026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46317</v>
      </c>
      <c r="E598" s="1" t="n">
        <v>46326</v>
      </c>
      <c r="F598" t="inlineStr">
        <is>
          <t>KRONOBERGS LÄN</t>
        </is>
      </c>
      <c r="G598" t="inlineStr">
        <is>
          <t>ALVESTA</t>
        </is>
      </c>
      <c r="H598" t="inlineStr">
        <is>
          <t>Övriga Aktiebolag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46273</v>
      </c>
      <c r="E599" s="1" t="n">
        <v>46326</v>
      </c>
      <c r="F599" t="inlineStr">
        <is>
          <t>KRONOBERGS LÄN</t>
        </is>
      </c>
      <c r="G599" t="inlineStr">
        <is>
          <t>ALVESTA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46317</v>
      </c>
      <c r="E600" s="1" t="n">
        <v>46326</v>
      </c>
      <c r="F600" t="inlineStr">
        <is>
          <t>KRONOBERGS LÄN</t>
        </is>
      </c>
      <c r="G600" t="inlineStr">
        <is>
          <t>ALVESTA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44035-2026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46317</v>
      </c>
      <c r="E601" s="1" t="n">
        <v>46326</v>
      </c>
      <c r="F601" t="inlineStr">
        <is>
          <t>KRONOBERGS LÄN</t>
        </is>
      </c>
      <c r="G601" t="inlineStr">
        <is>
          <t>ALVESTA</t>
        </is>
      </c>
      <c r="H601" t="inlineStr">
        <is>
          <t>Övriga Aktiebolag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46326</v>
      </c>
      <c r="F602" t="inlineStr">
        <is>
          <t>KRONOBERGS LÄN</t>
        </is>
      </c>
      <c r="G602" t="inlineStr">
        <is>
          <t>ALVESTA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46273</v>
      </c>
      <c r="E603" s="1" t="n">
        <v>46326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44006-2026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46317</v>
      </c>
      <c r="E604" s="1" t="n">
        <v>46326</v>
      </c>
      <c r="F604" t="inlineStr">
        <is>
          <t>KRONOBERGS LÄN</t>
        </is>
      </c>
      <c r="G604" t="inlineStr">
        <is>
          <t>ALVESTA</t>
        </is>
      </c>
      <c r="H604" t="inlineStr">
        <is>
          <t>Övriga Aktiebolag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43846-2026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46316</v>
      </c>
      <c r="E605" s="1" t="n">
        <v>46326</v>
      </c>
      <c r="F605" t="inlineStr">
        <is>
          <t>KRONOBERGS LÄN</t>
        </is>
      </c>
      <c r="G605" t="inlineStr">
        <is>
          <t>ALVESTA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32539-2025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45838</v>
      </c>
      <c r="E606" s="1" t="n">
        <v>46326</v>
      </c>
      <c r="F606" t="inlineStr">
        <is>
          <t>KRONOBERGS LÄN</t>
        </is>
      </c>
      <c r="G606" t="inlineStr">
        <is>
          <t>ALVESTA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30808-2026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46326</v>
      </c>
      <c r="F607" t="inlineStr">
        <is>
          <t>KRONOBERGS LÄN</t>
        </is>
      </c>
      <c r="G607" t="inlineStr">
        <is>
          <t>ALVESTA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46322</v>
      </c>
      <c r="E608" s="1" t="n">
        <v>46326</v>
      </c>
      <c r="F608" t="inlineStr">
        <is>
          <t>KRONOBERGS LÄN</t>
        </is>
      </c>
      <c r="G608" t="inlineStr">
        <is>
          <t>ALVESTA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46326</v>
      </c>
      <c r="F609" t="inlineStr">
        <is>
          <t>KRONOBERGS LÄN</t>
        </is>
      </c>
      <c r="G609" t="inlineStr">
        <is>
          <t>ALVESTA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44644-2026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46322</v>
      </c>
      <c r="E610" s="1" t="n">
        <v>46326</v>
      </c>
      <c r="F610" t="inlineStr">
        <is>
          <t>KRONOBERGS LÄN</t>
        </is>
      </c>
      <c r="G610" t="inlineStr">
        <is>
          <t>ALVESTA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46322</v>
      </c>
      <c r="E611" s="1" t="n">
        <v>46326</v>
      </c>
      <c r="F611" t="inlineStr">
        <is>
          <t>KRONOBERGS LÄN</t>
        </is>
      </c>
      <c r="G611" t="inlineStr">
        <is>
          <t>ALVESTA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44642-2026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46322</v>
      </c>
      <c r="E612" s="1" t="n">
        <v>46326</v>
      </c>
      <c r="F612" t="inlineStr">
        <is>
          <t>KRONOBERGS LÄN</t>
        </is>
      </c>
      <c r="G612" t="inlineStr">
        <is>
          <t>ALVESTA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45071-2026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46324</v>
      </c>
      <c r="E613" s="1" t="n">
        <v>46326</v>
      </c>
      <c r="F613" t="inlineStr">
        <is>
          <t>KRONOBERGS LÄN</t>
        </is>
      </c>
      <c r="G613" t="inlineStr">
        <is>
          <t>ALVESTA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45108-2026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46324</v>
      </c>
      <c r="E614" s="1" t="n">
        <v>46326</v>
      </c>
      <c r="F614" t="inlineStr">
        <is>
          <t>KRONOBERGS LÄN</t>
        </is>
      </c>
      <c r="G614" t="inlineStr">
        <is>
          <t>ALVESTA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45070-2026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46324</v>
      </c>
      <c r="E615" s="1" t="n">
        <v>46326</v>
      </c>
      <c r="F615" t="inlineStr">
        <is>
          <t>KRONOBERGS LÄN</t>
        </is>
      </c>
      <c r="G615" t="inlineStr">
        <is>
          <t>ALVESTA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46326</v>
      </c>
      <c r="F616" t="inlineStr">
        <is>
          <t>KRONOBERGS LÄN</t>
        </is>
      </c>
      <c r="G616" t="inlineStr">
        <is>
          <t>ALVESTA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46281</v>
      </c>
      <c r="E617" s="1" t="n">
        <v>46326</v>
      </c>
      <c r="F617" t="inlineStr">
        <is>
          <t>KRONOBERGS LÄN</t>
        </is>
      </c>
      <c r="G617" t="inlineStr">
        <is>
          <t>ALVESTA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3838-2022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44743</v>
      </c>
      <c r="E618" s="1" t="n">
        <v>46326</v>
      </c>
      <c r="F618" t="inlineStr">
        <is>
          <t>KRONOBERGS LÄN</t>
        </is>
      </c>
      <c r="G618" t="inlineStr">
        <is>
          <t>ALVESTA</t>
        </is>
      </c>
      <c r="I618" t="n">
        <v>15.8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572-2024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45350</v>
      </c>
      <c r="E619" s="1" t="n">
        <v>46326</v>
      </c>
      <c r="F619" t="inlineStr">
        <is>
          <t>KRONOBERGS LÄN</t>
        </is>
      </c>
      <c r="G619" t="inlineStr">
        <is>
          <t>ALVESTA</t>
        </is>
      </c>
      <c r="I619" t="n">
        <v>32.7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6869-2022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44903</v>
      </c>
      <c r="E620" s="1" t="n">
        <v>46326</v>
      </c>
      <c r="F620" t="inlineStr">
        <is>
          <t>KRONOBERGS LÄN</t>
        </is>
      </c>
      <c r="G620" t="inlineStr">
        <is>
          <t>ALVESTA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2119-2022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44675</v>
      </c>
      <c r="E621" s="1" t="n">
        <v>46326</v>
      </c>
      <c r="F621" t="inlineStr">
        <is>
          <t>KRONOBERGS LÄN</t>
        </is>
      </c>
      <c r="G621" t="inlineStr">
        <is>
          <t>ALVESTA</t>
        </is>
      </c>
      <c r="I621" t="n">
        <v>24.5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2120-2022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44675</v>
      </c>
      <c r="E622" s="1" t="n">
        <v>46326</v>
      </c>
      <c r="F622" t="inlineStr">
        <is>
          <t>KRONOBERGS LÄN</t>
        </is>
      </c>
      <c r="G622" t="inlineStr">
        <is>
          <t>ALVESTA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45111</v>
      </c>
      <c r="E623" s="1" t="n">
        <v>46326</v>
      </c>
      <c r="F623" t="inlineStr">
        <is>
          <t>KRONOBERGS LÄN</t>
        </is>
      </c>
      <c r="G623" t="inlineStr">
        <is>
          <t>ALVESTA</t>
        </is>
      </c>
      <c r="I623" t="n">
        <v>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3364-2024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45532</v>
      </c>
      <c r="E624" s="1" t="n">
        <v>46326</v>
      </c>
      <c r="F624" t="inlineStr">
        <is>
          <t>KRONOBERGS LÄN</t>
        </is>
      </c>
      <c r="G624" t="inlineStr">
        <is>
          <t>ALVESTA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2693-2024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45481</v>
      </c>
      <c r="E625" s="1" t="n">
        <v>46326</v>
      </c>
      <c r="F625" t="inlineStr">
        <is>
          <t>KRONOBERGS LÄN</t>
        </is>
      </c>
      <c r="G625" t="inlineStr">
        <is>
          <t>ALVESTA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3365-2024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45532</v>
      </c>
      <c r="E626" s="1" t="n">
        <v>46326</v>
      </c>
      <c r="F626" t="inlineStr">
        <is>
          <t>KRONOBERGS LÄN</t>
        </is>
      </c>
      <c r="G626" t="inlineStr">
        <is>
          <t>ALVESTA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4437-2023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45267</v>
      </c>
      <c r="E627" s="1" t="n">
        <v>46326</v>
      </c>
      <c r="F627" t="inlineStr">
        <is>
          <t>KRONOBERGS LÄN</t>
        </is>
      </c>
      <c r="G627" t="inlineStr">
        <is>
          <t>ALVESTA</t>
        </is>
      </c>
      <c r="I627" t="n">
        <v>10.6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1762-2024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45435</v>
      </c>
      <c r="E628" s="1" t="n">
        <v>46326</v>
      </c>
      <c r="F628" t="inlineStr">
        <is>
          <t>KRONOBERGS LÄN</t>
        </is>
      </c>
      <c r="G628" t="inlineStr">
        <is>
          <t>ALVESTA</t>
        </is>
      </c>
      <c r="I628" t="n">
        <v>17.4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1569-2022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44643</v>
      </c>
      <c r="E629" s="1" t="n">
        <v>46326</v>
      </c>
      <c r="F629" t="inlineStr">
        <is>
          <t>KRONOBERGS LÄN</t>
        </is>
      </c>
      <c r="G629" t="inlineStr">
        <is>
          <t>ALVESTA</t>
        </is>
      </c>
      <c r="I629" t="n">
        <v>21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358-2025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45694</v>
      </c>
      <c r="E630" s="1" t="n">
        <v>46326</v>
      </c>
      <c r="F630" t="inlineStr">
        <is>
          <t>KRONOBERGS LÄN</t>
        </is>
      </c>
      <c r="G630" t="inlineStr">
        <is>
          <t>ALVESTA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711-2025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45720</v>
      </c>
      <c r="E631" s="1" t="n">
        <v>46326</v>
      </c>
      <c r="F631" t="inlineStr">
        <is>
          <t>KRONOBERGS LÄN</t>
        </is>
      </c>
      <c r="G631" t="inlineStr">
        <is>
          <t>ALVESTA</t>
        </is>
      </c>
      <c r="I631" t="n">
        <v>22.2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45694</v>
      </c>
      <c r="E632" s="1" t="n">
        <v>46326</v>
      </c>
      <c r="F632" t="inlineStr">
        <is>
          <t>KRONOBERGS LÄN</t>
        </is>
      </c>
      <c r="G632" t="inlineStr">
        <is>
          <t>ALVESTA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450-2025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45701</v>
      </c>
      <c r="E633" s="1" t="n">
        <v>46326</v>
      </c>
      <c r="F633" t="inlineStr">
        <is>
          <t>KRONOBERGS LÄN</t>
        </is>
      </c>
      <c r="G633" t="inlineStr">
        <is>
          <t>ALVESTA</t>
        </is>
      </c>
      <c r="I633" t="n">
        <v>42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608-2025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45714</v>
      </c>
      <c r="E634" s="1" t="n">
        <v>46326</v>
      </c>
      <c r="F634" t="inlineStr">
        <is>
          <t>KRONOBERGS LÄN</t>
        </is>
      </c>
      <c r="G634" t="inlineStr">
        <is>
          <t>ALVESTA</t>
        </is>
      </c>
      <c r="I634" t="n">
        <v>40.3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362-2025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45694</v>
      </c>
      <c r="E635" s="1" t="n">
        <v>46326</v>
      </c>
      <c r="F635" t="inlineStr">
        <is>
          <t>KRONOBERGS LÄN</t>
        </is>
      </c>
      <c r="G635" t="inlineStr">
        <is>
          <t>ALVESTA</t>
        </is>
      </c>
      <c r="I635" t="n">
        <v>21.9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46326</v>
      </c>
      <c r="F636" t="inlineStr">
        <is>
          <t>KRONOBERGS LÄN</t>
        </is>
      </c>
      <c r="G636" t="inlineStr">
        <is>
          <t>ALVESTA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3139-2025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45972</v>
      </c>
      <c r="E637" s="1" t="n">
        <v>46326</v>
      </c>
      <c r="F637" t="inlineStr">
        <is>
          <t>KRONOBERGS LÄN</t>
        </is>
      </c>
      <c r="G637" t="inlineStr">
        <is>
          <t>ALVESTA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3128-2025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45971</v>
      </c>
      <c r="E638" s="1" t="n">
        <v>46326</v>
      </c>
      <c r="F638" t="inlineStr">
        <is>
          <t>KRONOBERGS LÄN</t>
        </is>
      </c>
      <c r="G638" t="inlineStr">
        <is>
          <t>ALVESTA</t>
        </is>
      </c>
      <c r="I638" t="n">
        <v>11.6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119-2026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46040</v>
      </c>
      <c r="E639" s="1" t="n">
        <v>46326</v>
      </c>
      <c r="F639" t="inlineStr">
        <is>
          <t>KRONOBERGS LÄN</t>
        </is>
      </c>
      <c r="G639" t="inlineStr">
        <is>
          <t>ALVESTA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276-2026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46056</v>
      </c>
      <c r="E640" s="1" t="n">
        <v>46326</v>
      </c>
      <c r="F640" t="inlineStr">
        <is>
          <t>KRONOBERGS LÄN</t>
        </is>
      </c>
      <c r="G640" t="inlineStr">
        <is>
          <t>ALVESTA</t>
        </is>
      </c>
      <c r="I640" t="n">
        <v>16.2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46071</v>
      </c>
      <c r="E641" s="1" t="n">
        <v>46326</v>
      </c>
      <c r="F641" t="inlineStr">
        <is>
          <t>KRONOBERGS LÄN</t>
        </is>
      </c>
      <c r="G641" t="inlineStr">
        <is>
          <t>ALVESTA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784-2026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46099</v>
      </c>
      <c r="E642" s="1" t="n">
        <v>46326</v>
      </c>
      <c r="F642" t="inlineStr">
        <is>
          <t>KRONOBERGS LÄN</t>
        </is>
      </c>
      <c r="G642" t="inlineStr">
        <is>
          <t>ALVESTA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1769-2026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46191</v>
      </c>
      <c r="E643" s="1" t="n">
        <v>46326</v>
      </c>
      <c r="F643" t="inlineStr">
        <is>
          <t>KRONOBERGS LÄN</t>
        </is>
      </c>
      <c r="G643" t="inlineStr">
        <is>
          <t>ALVESTA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2170-2026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46326</v>
      </c>
      <c r="F644" t="inlineStr">
        <is>
          <t>KRONOBERGS LÄN</t>
        </is>
      </c>
      <c r="G644" t="inlineStr">
        <is>
          <t>ALVESTA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2592-2026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46296</v>
      </c>
      <c r="E645" s="1" t="n">
        <v>46326</v>
      </c>
      <c r="F645" t="inlineStr">
        <is>
          <t>KRONOBERGS LÄN</t>
        </is>
      </c>
      <c r="G645" t="inlineStr">
        <is>
          <t>ALVESTA</t>
        </is>
      </c>
      <c r="I645" t="n">
        <v>22.6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2171-2026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46251</v>
      </c>
      <c r="E646" s="1" t="n">
        <v>46326</v>
      </c>
      <c r="F646" t="inlineStr">
        <is>
          <t>KRONOBERGS LÄN</t>
        </is>
      </c>
      <c r="G646" t="inlineStr">
        <is>
          <t>ALVESTA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2591-2026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46296</v>
      </c>
      <c r="E647" s="1" t="n">
        <v>46326</v>
      </c>
      <c r="F647" t="inlineStr">
        <is>
          <t>KRONOBERGS LÄN</t>
        </is>
      </c>
      <c r="G647" t="inlineStr">
        <is>
          <t>ALVESTA</t>
        </is>
      </c>
      <c r="I647" t="n">
        <v>22.4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2644-2026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46304</v>
      </c>
      <c r="E648" s="1" t="n">
        <v>46326</v>
      </c>
      <c r="F648" t="inlineStr">
        <is>
          <t>KRONOBERGS LÄN</t>
        </is>
      </c>
      <c r="G648" t="inlineStr">
        <is>
          <t>ALVESTA</t>
        </is>
      </c>
      <c r="I648" t="n">
        <v>19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2643-2026</t>
        </is>
      </c>
      <c r="B649" t="inlineStr">
        <is>
          <t>samrådsanmälan</t>
        </is>
      </c>
      <c r="C649" t="inlineStr">
        <is>
          <t>Stubbskörd</t>
        </is>
      </c>
      <c r="D649" s="1" t="n">
        <v>46304</v>
      </c>
      <c r="E649" s="1" t="n">
        <v>46326</v>
      </c>
      <c r="F649" t="inlineStr">
        <is>
          <t>KRONOBERGS LÄN</t>
        </is>
      </c>
      <c r="G649" t="inlineStr">
        <is>
          <t>ALVESTA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2026-10-31T03:28:12Z</dcterms:created>
  <dcterms:modified xmlns:dcterms="http://purl.org/dc/terms/" xmlns:xsi="http://www.w3.org/2001/XMLSchema-instance" xsi:type="dcterms:W3CDTF">2026-10-31T03:28:13Z</dcterms:modified>
</cp:coreProperties>
</file>