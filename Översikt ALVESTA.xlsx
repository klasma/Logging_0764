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46200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46200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46200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41349-2024</t>
        </is>
      </c>
      <c r="B7" s="1" t="n">
        <v>45559</v>
      </c>
      <c r="C7" s="1" t="n">
        <v>46200</v>
      </c>
      <c r="D7" t="inlineStr">
        <is>
          <t>KRONOBERGS LÄN</t>
        </is>
      </c>
      <c r="E7" t="inlineStr">
        <is>
          <t>ALVESTA</t>
        </is>
      </c>
      <c r="G7" t="n">
        <v>6.1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Järnsparv
Talltita
Kungsfågel
Ärtsångare</t>
        </is>
      </c>
      <c r="S7">
        <f>HYPERLINK("https://klasma.github.io/Logging_0764/artfynd/A 41349-2024 artfynd.xlsx", "A 41349-2024")</f>
        <v/>
      </c>
      <c r="T7">
        <f>HYPERLINK("https://klasma.github.io/Logging_0764/kartor/A 41349-2024 karta.png", "A 41349-2024")</f>
        <v/>
      </c>
      <c r="V7">
        <f>HYPERLINK("https://klasma.github.io/Logging_0764/klagomål/A 41349-2024 FSC-klagomål.docx", "A 41349-2024")</f>
        <v/>
      </c>
      <c r="W7">
        <f>HYPERLINK("https://klasma.github.io/Logging_0764/klagomålsmail/A 41349-2024 FSC-klagomål mail.docx", "A 41349-2024")</f>
        <v/>
      </c>
      <c r="X7">
        <f>HYPERLINK("https://klasma.github.io/Logging_0764/tillsyn/A 41349-2024 tillsynsbegäran.docx", "A 41349-2024")</f>
        <v/>
      </c>
      <c r="Y7">
        <f>HYPERLINK("https://klasma.github.io/Logging_0764/tillsynsmail/A 41349-2024 tillsynsbegäran mail.docx", "A 41349-2024")</f>
        <v/>
      </c>
      <c r="Z7">
        <f>HYPERLINK("https://klasma.github.io/Logging_0764/fåglar/A 41349-2024 prioriterade fågelarter.docx", "A 41349-2024")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46200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46200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46200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46200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46200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64797-2021</t>
        </is>
      </c>
      <c r="B13" s="1" t="n">
        <v>44512</v>
      </c>
      <c r="C13" s="1" t="n">
        <v>46200</v>
      </c>
      <c r="D13" t="inlineStr">
        <is>
          <t>KRONOBERGS LÄN</t>
        </is>
      </c>
      <c r="E13" t="inlineStr">
        <is>
          <t>ALVESTA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 glada
Trana</t>
        </is>
      </c>
      <c r="S13">
        <f>HYPERLINK("https://klasma.github.io/Logging_0764/artfynd/A 64797-2021 artfynd.xlsx", "A 64797-2021")</f>
        <v/>
      </c>
      <c r="T13">
        <f>HYPERLINK("https://klasma.github.io/Logging_0764/kartor/A 64797-2021 karta.png", "A 64797-2021")</f>
        <v/>
      </c>
      <c r="V13">
        <f>HYPERLINK("https://klasma.github.io/Logging_0764/klagomål/A 64797-2021 FSC-klagomål.docx", "A 64797-2021")</f>
        <v/>
      </c>
      <c r="W13">
        <f>HYPERLINK("https://klasma.github.io/Logging_0764/klagomålsmail/A 64797-2021 FSC-klagomål mail.docx", "A 64797-2021")</f>
        <v/>
      </c>
      <c r="X13">
        <f>HYPERLINK("https://klasma.github.io/Logging_0764/tillsyn/A 64797-2021 tillsynsbegäran.docx", "A 64797-2021")</f>
        <v/>
      </c>
      <c r="Y13">
        <f>HYPERLINK("https://klasma.github.io/Logging_0764/tillsynsmail/A 64797-2021 tillsynsbegäran mail.docx", "A 64797-2021")</f>
        <v/>
      </c>
      <c r="Z13">
        <f>HYPERLINK("https://klasma.github.io/Logging_0764/fåglar/A 64797-2021 prioriterade fågelarter.docx", "A 64797-2021")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46200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46200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6812-2024</t>
        </is>
      </c>
      <c r="B16" s="1" t="n">
        <v>45342</v>
      </c>
      <c r="C16" s="1" t="n">
        <v>46200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HYPERLINK("https://klasma.github.io/Logging_0764/artfynd/A 6812-2024 artfynd.xlsx", "A 6812-2024")</f>
        <v/>
      </c>
      <c r="T16">
        <f>HYPERLINK("https://klasma.github.io/Logging_0764/kartor/A 6812-2024 karta.png", "A 6812-2024")</f>
        <v/>
      </c>
      <c r="V16">
        <f>HYPERLINK("https://klasma.github.io/Logging_0764/klagomål/A 6812-2024 FSC-klagomål.docx", "A 6812-2024")</f>
        <v/>
      </c>
      <c r="W16">
        <f>HYPERLINK("https://klasma.github.io/Logging_0764/klagomålsmail/A 6812-2024 FSC-klagomål mail.docx", "A 6812-2024")</f>
        <v/>
      </c>
      <c r="X16">
        <f>HYPERLINK("https://klasma.github.io/Logging_0764/tillsyn/A 6812-2024 tillsynsbegäran.docx", "A 6812-2024")</f>
        <v/>
      </c>
      <c r="Y16">
        <f>HYPERLINK("https://klasma.github.io/Logging_0764/tillsynsmail/A 6812-2024 tillsynsbegäran mail.docx", "A 6812-2024")</f>
        <v/>
      </c>
      <c r="Z16">
        <f>HYPERLINK("https://klasma.github.io/Logging_0764/fåglar/A 6812-2024 prioriterade fågelarter.docx", "A 6812-2024")</f>
        <v/>
      </c>
    </row>
    <row r="17" ht="15" customHeight="1">
      <c r="A17" t="inlineStr">
        <is>
          <t>A 28740-2024</t>
        </is>
      </c>
      <c r="B17" s="1" t="n">
        <v>45478</v>
      </c>
      <c r="C17" s="1" t="n">
        <v>46200</v>
      </c>
      <c r="D17" t="inlineStr">
        <is>
          <t>KRONOBERGS LÄN</t>
        </is>
      </c>
      <c r="E17" t="inlineStr">
        <is>
          <t>ALVESTA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HYPERLINK("https://klasma.github.io/Logging_0764/artfynd/A 28740-2024 artfynd.xlsx", "A 28740-2024")</f>
        <v/>
      </c>
      <c r="T17">
        <f>HYPERLINK("https://klasma.github.io/Logging_0764/kartor/A 28740-2024 karta.png", "A 28740-2024")</f>
        <v/>
      </c>
      <c r="V17">
        <f>HYPERLINK("https://klasma.github.io/Logging_0764/klagomål/A 28740-2024 FSC-klagomål.docx", "A 28740-2024")</f>
        <v/>
      </c>
      <c r="W17">
        <f>HYPERLINK("https://klasma.github.io/Logging_0764/klagomålsmail/A 28740-2024 FSC-klagomål mail.docx", "A 28740-2024")</f>
        <v/>
      </c>
      <c r="X17">
        <f>HYPERLINK("https://klasma.github.io/Logging_0764/tillsyn/A 28740-2024 tillsynsbegäran.docx", "A 28740-2024")</f>
        <v/>
      </c>
      <c r="Y17">
        <f>HYPERLINK("https://klasma.github.io/Logging_0764/tillsynsmail/A 28740-2024 tillsynsbegäran mail.docx", "A 28740-2024")</f>
        <v/>
      </c>
    </row>
    <row r="18" ht="15" customHeight="1">
      <c r="A18" t="inlineStr">
        <is>
          <t>A 70221-2021</t>
        </is>
      </c>
      <c r="B18" s="1" t="n">
        <v>44535</v>
      </c>
      <c r="C18" s="1" t="n">
        <v>46200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Gulnål</t>
        </is>
      </c>
      <c r="S18">
        <f>HYPERLINK("https://klasma.github.io/Logging_0764/artfynd/A 70221-2021 artfynd.xlsx", "A 70221-2021")</f>
        <v/>
      </c>
      <c r="T18">
        <f>HYPERLINK("https://klasma.github.io/Logging_0764/kartor/A 70221-2021 karta.png", "A 70221-2021")</f>
        <v/>
      </c>
      <c r="V18">
        <f>HYPERLINK("https://klasma.github.io/Logging_0764/klagomål/A 70221-2021 FSC-klagomål.docx", "A 70221-2021")</f>
        <v/>
      </c>
      <c r="W18">
        <f>HYPERLINK("https://klasma.github.io/Logging_0764/klagomålsmail/A 70221-2021 FSC-klagomål mail.docx", "A 70221-2021")</f>
        <v/>
      </c>
      <c r="X18">
        <f>HYPERLINK("https://klasma.github.io/Logging_0764/tillsyn/A 70221-2021 tillsynsbegäran.docx", "A 70221-2021")</f>
        <v/>
      </c>
      <c r="Y18">
        <f>HYPERLINK("https://klasma.github.io/Logging_0764/tillsynsmail/A 70221-2021 tillsynsbegäran mail.docx", "A 70221-2021")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46200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Lopplummer (aggregat)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25812-2025</t>
        </is>
      </c>
      <c r="B20" s="1" t="n">
        <v>45804</v>
      </c>
      <c r="C20" s="1" t="n">
        <v>46200</v>
      </c>
      <c r="D20" t="inlineStr">
        <is>
          <t>KRONOBERGS LÄN</t>
        </is>
      </c>
      <c r="E20" t="inlineStr">
        <is>
          <t>ALVESTA</t>
        </is>
      </c>
      <c r="G20" t="n">
        <v>3.2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Loppstarr
Ängsstarr</t>
        </is>
      </c>
      <c r="S20">
        <f>HYPERLINK("https://klasma.github.io/Logging_0764/artfynd/A 25812-2025 artfynd.xlsx", "A 25812-2025")</f>
        <v/>
      </c>
      <c r="T20">
        <f>HYPERLINK("https://klasma.github.io/Logging_0764/kartor/A 25812-2025 karta.png", "A 25812-2025")</f>
        <v/>
      </c>
      <c r="V20">
        <f>HYPERLINK("https://klasma.github.io/Logging_0764/klagomål/A 25812-2025 FSC-klagomål.docx", "A 25812-2025")</f>
        <v/>
      </c>
      <c r="W20">
        <f>HYPERLINK("https://klasma.github.io/Logging_0764/klagomålsmail/A 25812-2025 FSC-klagomål mail.docx", "A 25812-2025")</f>
        <v/>
      </c>
      <c r="X20">
        <f>HYPERLINK("https://klasma.github.io/Logging_0764/tillsyn/A 25812-2025 tillsynsbegäran.docx", "A 25812-2025")</f>
        <v/>
      </c>
      <c r="Y20">
        <f>HYPERLINK("https://klasma.github.io/Logging_0764/tillsynsmail/A 25812-2025 tillsynsbegäran mail.docx", "A 25812-2025")</f>
        <v/>
      </c>
    </row>
    <row r="21" ht="15" customHeight="1">
      <c r="A21" t="inlineStr">
        <is>
          <t>A 18486-2025</t>
        </is>
      </c>
      <c r="B21" s="1" t="n">
        <v>45763</v>
      </c>
      <c r="C21" s="1" t="n">
        <v>46200</v>
      </c>
      <c r="D21" t="inlineStr">
        <is>
          <t>KRONOBERGS LÄN</t>
        </is>
      </c>
      <c r="E21" t="inlineStr">
        <is>
          <t>ALVESTA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Spillkråka</t>
        </is>
      </c>
      <c r="S21">
        <f>HYPERLINK("https://klasma.github.io/Logging_0764/artfynd/A 18486-2025 artfynd.xlsx", "A 18486-2025")</f>
        <v/>
      </c>
      <c r="T21">
        <f>HYPERLINK("https://klasma.github.io/Logging_0764/kartor/A 18486-2025 karta.png", "A 18486-2025")</f>
        <v/>
      </c>
      <c r="V21">
        <f>HYPERLINK("https://klasma.github.io/Logging_0764/klagomål/A 18486-2025 FSC-klagomål.docx", "A 18486-2025")</f>
        <v/>
      </c>
      <c r="W21">
        <f>HYPERLINK("https://klasma.github.io/Logging_0764/klagomålsmail/A 18486-2025 FSC-klagomål mail.docx", "A 18486-2025")</f>
        <v/>
      </c>
      <c r="X21">
        <f>HYPERLINK("https://klasma.github.io/Logging_0764/tillsyn/A 18486-2025 tillsynsbegäran.docx", "A 18486-2025")</f>
        <v/>
      </c>
      <c r="Y21">
        <f>HYPERLINK("https://klasma.github.io/Logging_0764/tillsynsmail/A 18486-2025 tillsynsbegäran mail.docx", "A 18486-2025")</f>
        <v/>
      </c>
      <c r="Z21">
        <f>HYPERLINK("https://klasma.github.io/Logging_0764/fåglar/A 18486-2025 prioriterade fågelarter.docx", "A 18486-2025")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46200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46200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29382-2023</t>
        </is>
      </c>
      <c r="B24" s="1" t="n">
        <v>45106</v>
      </c>
      <c r="C24" s="1" t="n">
        <v>46200</v>
      </c>
      <c r="D24" t="inlineStr">
        <is>
          <t>KRONOBERGS LÄN</t>
        </is>
      </c>
      <c r="E24" t="inlineStr">
        <is>
          <t>ALVESTA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29382-2023 artfynd.xlsx", "A 29382-2023")</f>
        <v/>
      </c>
      <c r="T24">
        <f>HYPERLINK("https://klasma.github.io/Logging_0764/kartor/A 29382-2023 karta.png", "A 29382-2023")</f>
        <v/>
      </c>
      <c r="V24">
        <f>HYPERLINK("https://klasma.github.io/Logging_0764/klagomål/A 29382-2023 FSC-klagomål.docx", "A 29382-2023")</f>
        <v/>
      </c>
      <c r="W24">
        <f>HYPERLINK("https://klasma.github.io/Logging_0764/klagomålsmail/A 29382-2023 FSC-klagomål mail.docx", "A 29382-2023")</f>
        <v/>
      </c>
      <c r="X24">
        <f>HYPERLINK("https://klasma.github.io/Logging_0764/tillsyn/A 29382-2023 tillsynsbegäran.docx", "A 29382-2023")</f>
        <v/>
      </c>
      <c r="Y24">
        <f>HYPERLINK("https://klasma.github.io/Logging_0764/tillsynsmail/A 29382-2023 tillsynsbegäran mail.docx", "A 29382-2023")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46200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38890-2024</t>
        </is>
      </c>
      <c r="B26" s="1" t="n">
        <v>45547</v>
      </c>
      <c r="C26" s="1" t="n">
        <v>46200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35279-2022</t>
        </is>
      </c>
      <c r="B27" s="1" t="n">
        <v>44798</v>
      </c>
      <c r="C27" s="1" t="n">
        <v>46200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3.8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HYPERLINK("https://klasma.github.io/Logging_0764/artfynd/A 35279-2022 artfynd.xlsx", "A 35279-2022")</f>
        <v/>
      </c>
      <c r="T27">
        <f>HYPERLINK("https://klasma.github.io/Logging_0764/kartor/A 35279-2022 karta.png", "A 35279-2022")</f>
        <v/>
      </c>
      <c r="U27">
        <f>HYPERLINK("https://klasma.github.io/Logging_0764/knärot/A 35279-2022 karta knärot.png", "A 35279-2022")</f>
        <v/>
      </c>
      <c r="V27">
        <f>HYPERLINK("https://klasma.github.io/Logging_0764/klagomål/A 35279-2022 FSC-klagomål.docx", "A 35279-2022")</f>
        <v/>
      </c>
      <c r="W27">
        <f>HYPERLINK("https://klasma.github.io/Logging_0764/klagomålsmail/A 35279-2022 FSC-klagomål mail.docx", "A 35279-2022")</f>
        <v/>
      </c>
      <c r="X27">
        <f>HYPERLINK("https://klasma.github.io/Logging_0764/tillsyn/A 35279-2022 tillsynsbegäran.docx", "A 35279-2022")</f>
        <v/>
      </c>
      <c r="Y27">
        <f>HYPERLINK("https://klasma.github.io/Logging_0764/tillsynsmail/A 35279-2022 tillsynsbegäran mail.docx", "A 35279-2022")</f>
        <v/>
      </c>
    </row>
    <row r="28" ht="15" customHeight="1">
      <c r="A28" t="inlineStr">
        <is>
          <t>A 22238-2024</t>
        </is>
      </c>
      <c r="B28" s="1" t="n">
        <v>45446</v>
      </c>
      <c r="C28" s="1" t="n">
        <v>46200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46200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46200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46200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47338-2022</t>
        </is>
      </c>
      <c r="B32" s="1" t="n">
        <v>44853</v>
      </c>
      <c r="C32" s="1" t="n">
        <v>46200</v>
      </c>
      <c r="D32" t="inlineStr">
        <is>
          <t>KRONOBERGS LÄN</t>
        </is>
      </c>
      <c r="E32" t="inlineStr">
        <is>
          <t>ALVESTA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47338-2022 artfynd.xlsx", "A 47338-2022")</f>
        <v/>
      </c>
      <c r="T32">
        <f>HYPERLINK("https://klasma.github.io/Logging_0764/kartor/A 47338-2022 karta.png", "A 47338-2022")</f>
        <v/>
      </c>
      <c r="V32">
        <f>HYPERLINK("https://klasma.github.io/Logging_0764/klagomål/A 47338-2022 FSC-klagomål.docx", "A 47338-2022")</f>
        <v/>
      </c>
      <c r="W32">
        <f>HYPERLINK("https://klasma.github.io/Logging_0764/klagomålsmail/A 47338-2022 FSC-klagomål mail.docx", "A 47338-2022")</f>
        <v/>
      </c>
      <c r="X32">
        <f>HYPERLINK("https://klasma.github.io/Logging_0764/tillsyn/A 47338-2022 tillsynsbegäran.docx", "A 47338-2022")</f>
        <v/>
      </c>
      <c r="Y32">
        <f>HYPERLINK("https://klasma.github.io/Logging_0764/tillsynsmail/A 47338-2022 tillsynsbegäran mail.docx", "A 47338-2022")</f>
        <v/>
      </c>
      <c r="Z32">
        <f>HYPERLINK("https://klasma.github.io/Logging_0764/fåglar/A 47338-2022 prioriterade fågelarter.docx", "A 47338-2022")</f>
        <v/>
      </c>
    </row>
    <row r="33" ht="15" customHeight="1">
      <c r="A33" t="inlineStr">
        <is>
          <t>A 30604-2023</t>
        </is>
      </c>
      <c r="B33" s="1" t="n">
        <v>45112</v>
      </c>
      <c r="C33" s="1" t="n">
        <v>46200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HYPERLINK("https://klasma.github.io/Logging_0764/artfynd/A 30604-2023 artfynd.xlsx", "A 30604-2023")</f>
        <v/>
      </c>
      <c r="T33">
        <f>HYPERLINK("https://klasma.github.io/Logging_0764/kartor/A 30604-2023 karta.png", "A 30604-2023")</f>
        <v/>
      </c>
      <c r="V33">
        <f>HYPERLINK("https://klasma.github.io/Logging_0764/klagomål/A 30604-2023 FSC-klagomål.docx", "A 30604-2023")</f>
        <v/>
      </c>
      <c r="W33">
        <f>HYPERLINK("https://klasma.github.io/Logging_0764/klagomålsmail/A 30604-2023 FSC-klagomål mail.docx", "A 30604-2023")</f>
        <v/>
      </c>
      <c r="X33">
        <f>HYPERLINK("https://klasma.github.io/Logging_0764/tillsyn/A 30604-2023 tillsynsbegäran.docx", "A 30604-2023")</f>
        <v/>
      </c>
      <c r="Y33">
        <f>HYPERLINK("https://klasma.github.io/Logging_0764/tillsynsmail/A 30604-2023 tillsynsbegäran mail.docx", "A 30604-2023")</f>
        <v/>
      </c>
      <c r="Z33">
        <f>HYPERLINK("https://klasma.github.io/Logging_0764/fåglar/A 30604-2023 prioriterade fågelarter.docx", "A 30604-2023")</f>
        <v/>
      </c>
    </row>
    <row r="34" ht="15" customHeight="1">
      <c r="A34" t="inlineStr">
        <is>
          <t>A 46348-2021</t>
        </is>
      </c>
      <c r="B34" s="1" t="n">
        <v>44442</v>
      </c>
      <c r="C34" s="1" t="n">
        <v>46200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HYPERLINK("https://klasma.github.io/Logging_0764/artfynd/A 46348-2021 artfynd.xlsx", "A 46348-2021")</f>
        <v/>
      </c>
      <c r="T34">
        <f>HYPERLINK("https://klasma.github.io/Logging_0764/kartor/A 46348-2021 karta.png", "A 46348-2021")</f>
        <v/>
      </c>
      <c r="V34">
        <f>HYPERLINK("https://klasma.github.io/Logging_0764/klagomål/A 46348-2021 FSC-klagomål.docx", "A 46348-2021")</f>
        <v/>
      </c>
      <c r="W34">
        <f>HYPERLINK("https://klasma.github.io/Logging_0764/klagomålsmail/A 46348-2021 FSC-klagomål mail.docx", "A 46348-2021")</f>
        <v/>
      </c>
      <c r="X34">
        <f>HYPERLINK("https://klasma.github.io/Logging_0764/tillsyn/A 46348-2021 tillsynsbegäran.docx", "A 46348-2021")</f>
        <v/>
      </c>
      <c r="Y34">
        <f>HYPERLINK("https://klasma.github.io/Logging_0764/tillsynsmail/A 46348-2021 tillsynsbegäran mail.docx", "A 46348-2021")</f>
        <v/>
      </c>
      <c r="Z34">
        <f>HYPERLINK("https://klasma.github.io/Logging_0764/fåglar/A 46348-2021 prioriterade fågelarter.docx", "A 46348-2021")</f>
        <v/>
      </c>
    </row>
    <row r="35" ht="15" customHeight="1">
      <c r="A35" t="inlineStr">
        <is>
          <t>A 18676-2023</t>
        </is>
      </c>
      <c r="B35" s="1" t="n">
        <v>45043</v>
      </c>
      <c r="C35" s="1" t="n">
        <v>46200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HYPERLINK("https://klasma.github.io/Logging_0764/artfynd/A 18676-2023 artfynd.xlsx", "A 18676-2023")</f>
        <v/>
      </c>
      <c r="T35">
        <f>HYPERLINK("https://klasma.github.io/Logging_0764/kartor/A 18676-2023 karta.png", "A 18676-2023")</f>
        <v/>
      </c>
      <c r="V35">
        <f>HYPERLINK("https://klasma.github.io/Logging_0764/klagomål/A 18676-2023 FSC-klagomål.docx", "A 18676-2023")</f>
        <v/>
      </c>
      <c r="W35">
        <f>HYPERLINK("https://klasma.github.io/Logging_0764/klagomålsmail/A 18676-2023 FSC-klagomål mail.docx", "A 18676-2023")</f>
        <v/>
      </c>
      <c r="X35">
        <f>HYPERLINK("https://klasma.github.io/Logging_0764/tillsyn/A 18676-2023 tillsynsbegäran.docx", "A 18676-2023")</f>
        <v/>
      </c>
      <c r="Y35">
        <f>HYPERLINK("https://klasma.github.io/Logging_0764/tillsynsmail/A 18676-2023 tillsynsbegäran mail.docx", "A 18676-2023")</f>
        <v/>
      </c>
    </row>
    <row r="36" ht="15" customHeight="1">
      <c r="A36" t="inlineStr">
        <is>
          <t>A 50486-2021</t>
        </is>
      </c>
      <c r="B36" s="1" t="n">
        <v>44459</v>
      </c>
      <c r="C36" s="1" t="n">
        <v>46200</v>
      </c>
      <c r="D36" t="inlineStr">
        <is>
          <t>KRONOBERGS LÄN</t>
        </is>
      </c>
      <c r="E36" t="inlineStr">
        <is>
          <t>ALVESTA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50486-2021 artfynd.xlsx", "A 50486-2021")</f>
        <v/>
      </c>
      <c r="T36">
        <f>HYPERLINK("https://klasma.github.io/Logging_0764/kartor/A 50486-2021 karta.png", "A 50486-2021")</f>
        <v/>
      </c>
      <c r="V36">
        <f>HYPERLINK("https://klasma.github.io/Logging_0764/klagomål/A 50486-2021 FSC-klagomål.docx", "A 50486-2021")</f>
        <v/>
      </c>
      <c r="W36">
        <f>HYPERLINK("https://klasma.github.io/Logging_0764/klagomålsmail/A 50486-2021 FSC-klagomål mail.docx", "A 50486-2021")</f>
        <v/>
      </c>
      <c r="X36">
        <f>HYPERLINK("https://klasma.github.io/Logging_0764/tillsyn/A 50486-2021 tillsynsbegäran.docx", "A 50486-2021")</f>
        <v/>
      </c>
      <c r="Y36">
        <f>HYPERLINK("https://klasma.github.io/Logging_0764/tillsynsmail/A 50486-2021 tillsynsbegäran mail.docx", "A 50486-2021")</f>
        <v/>
      </c>
    </row>
    <row r="37" ht="15" customHeight="1">
      <c r="A37" t="inlineStr">
        <is>
          <t>A 1811-2025</t>
        </is>
      </c>
      <c r="B37" s="1" t="n">
        <v>45670</v>
      </c>
      <c r="C37" s="1" t="n">
        <v>46200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HYPERLINK("https://klasma.github.io/Logging_0764/artfynd/A 1811-2025 artfynd.xlsx", "A 1811-2025")</f>
        <v/>
      </c>
      <c r="T37">
        <f>HYPERLINK("https://klasma.github.io/Logging_0764/kartor/A 1811-2025 karta.png", "A 1811-2025")</f>
        <v/>
      </c>
      <c r="V37">
        <f>HYPERLINK("https://klasma.github.io/Logging_0764/klagomål/A 1811-2025 FSC-klagomål.docx", "A 1811-2025")</f>
        <v/>
      </c>
      <c r="W37">
        <f>HYPERLINK("https://klasma.github.io/Logging_0764/klagomålsmail/A 1811-2025 FSC-klagomål mail.docx", "A 1811-2025")</f>
        <v/>
      </c>
      <c r="X37">
        <f>HYPERLINK("https://klasma.github.io/Logging_0764/tillsyn/A 1811-2025 tillsynsbegäran.docx", "A 1811-2025")</f>
        <v/>
      </c>
      <c r="Y37">
        <f>HYPERLINK("https://klasma.github.io/Logging_0764/tillsynsmail/A 1811-2025 tillsynsbegäran mail.docx", "A 1811-2025")</f>
        <v/>
      </c>
      <c r="Z37">
        <f>HYPERLINK("https://klasma.github.io/Logging_0764/fåglar/A 1811-2025 prioriterade fågelarter.docx", "A 1811-2025")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46200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60729-2025</t>
        </is>
      </c>
      <c r="B39" s="1" t="n">
        <v>45996</v>
      </c>
      <c r="C39" s="1" t="n">
        <v>46200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HYPERLINK("https://klasma.github.io/Logging_0764/artfynd/A 60729-2025 artfynd.xlsx", "A 60729-2025")</f>
        <v/>
      </c>
      <c r="T39">
        <f>HYPERLINK("https://klasma.github.io/Logging_0764/kartor/A 60729-2025 karta.png", "A 60729-2025")</f>
        <v/>
      </c>
      <c r="V39">
        <f>HYPERLINK("https://klasma.github.io/Logging_0764/klagomål/A 60729-2025 FSC-klagomål.docx", "A 60729-2025")</f>
        <v/>
      </c>
      <c r="W39">
        <f>HYPERLINK("https://klasma.github.io/Logging_0764/klagomålsmail/A 60729-2025 FSC-klagomål mail.docx", "A 60729-2025")</f>
        <v/>
      </c>
      <c r="X39">
        <f>HYPERLINK("https://klasma.github.io/Logging_0764/tillsyn/A 60729-2025 tillsynsbegäran.docx", "A 60729-2025")</f>
        <v/>
      </c>
      <c r="Y39">
        <f>HYPERLINK("https://klasma.github.io/Logging_0764/tillsynsmail/A 60729-2025 tillsynsbegäran mail.docx", "A 60729-2025")</f>
        <v/>
      </c>
    </row>
    <row r="40" ht="15" customHeight="1">
      <c r="A40" t="inlineStr">
        <is>
          <t>A 55368-2025</t>
        </is>
      </c>
      <c r="B40" s="1" t="n">
        <v>45971</v>
      </c>
      <c r="C40" s="1" t="n">
        <v>46200</v>
      </c>
      <c r="D40" t="inlineStr">
        <is>
          <t>KRONOBERGS LÄN</t>
        </is>
      </c>
      <c r="E40" t="inlineStr">
        <is>
          <t>ALVESTA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HYPERLINK("https://klasma.github.io/Logging_0764/artfynd/A 55368-2025 artfynd.xlsx", "A 55368-2025")</f>
        <v/>
      </c>
      <c r="T40">
        <f>HYPERLINK("https://klasma.github.io/Logging_0764/kartor/A 55368-2025 karta.png", "A 55368-2025")</f>
        <v/>
      </c>
      <c r="V40">
        <f>HYPERLINK("https://klasma.github.io/Logging_0764/klagomål/A 55368-2025 FSC-klagomål.docx", "A 55368-2025")</f>
        <v/>
      </c>
      <c r="W40">
        <f>HYPERLINK("https://klasma.github.io/Logging_0764/klagomålsmail/A 55368-2025 FSC-klagomål mail.docx", "A 55368-2025")</f>
        <v/>
      </c>
      <c r="X40">
        <f>HYPERLINK("https://klasma.github.io/Logging_0764/tillsyn/A 55368-2025 tillsynsbegäran.docx", "A 55368-2025")</f>
        <v/>
      </c>
      <c r="Y40">
        <f>HYPERLINK("https://klasma.github.io/Logging_0764/tillsynsmail/A 55368-2025 tillsynsbegäran mail.docx", "A 55368-2025")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46200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46200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46200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46200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46200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46200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46200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46200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46200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46200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46200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46200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46200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46200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46200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46200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46200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46200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</v>
      </c>
      <c r="C59" s="1" t="n">
        <v>46200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</v>
      </c>
      <c r="C60" s="1" t="n">
        <v>46200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</v>
      </c>
      <c r="C61" s="1" t="n">
        <v>46200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46200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46200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49424-2021</t>
        </is>
      </c>
      <c r="B64" s="1" t="n">
        <v>44454</v>
      </c>
      <c r="C64" s="1" t="n">
        <v>46200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58333-2021</t>
        </is>
      </c>
      <c r="B65" s="1" t="n">
        <v>44488</v>
      </c>
      <c r="C65" s="1" t="n">
        <v>46200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37788-2021</t>
        </is>
      </c>
      <c r="B66" s="1" t="n">
        <v>44401</v>
      </c>
      <c r="C66" s="1" t="n">
        <v>46200</v>
      </c>
      <c r="D66" t="inlineStr">
        <is>
          <t>KRONOBERGS LÄN</t>
        </is>
      </c>
      <c r="E66" t="inlineStr">
        <is>
          <t>ALVESTA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43932-2021</t>
        </is>
      </c>
      <c r="B67" s="1" t="n">
        <v>44434</v>
      </c>
      <c r="C67" s="1" t="n">
        <v>46200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39474-2021</t>
        </is>
      </c>
      <c r="B68" s="1" t="n">
        <v>44414</v>
      </c>
      <c r="C68" s="1" t="n">
        <v>46200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46200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47383-2021</t>
        </is>
      </c>
      <c r="B70" s="1" t="n">
        <v>44447</v>
      </c>
      <c r="C70" s="1" t="n">
        <v>46200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48561-2022</t>
        </is>
      </c>
      <c r="B71" s="1" t="n">
        <v>44859</v>
      </c>
      <c r="C71" s="1" t="n">
        <v>46200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38993-2021</t>
        </is>
      </c>
      <c r="B72" s="1" t="n">
        <v>44412</v>
      </c>
      <c r="C72" s="1" t="n">
        <v>46200</v>
      </c>
      <c r="D72" t="inlineStr">
        <is>
          <t>KRONOBERGS LÄN</t>
        </is>
      </c>
      <c r="E72" t="inlineStr">
        <is>
          <t>ALVESTA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46200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7388-2022</t>
        </is>
      </c>
      <c r="B74" s="1" t="n">
        <v>44606</v>
      </c>
      <c r="C74" s="1" t="n">
        <v>46200</v>
      </c>
      <c r="D74" t="inlineStr">
        <is>
          <t>KRONOBERGS LÄN</t>
        </is>
      </c>
      <c r="E74" t="inlineStr">
        <is>
          <t>ALVESTA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46200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62695-2021</t>
        </is>
      </c>
      <c r="B76" s="1" t="n">
        <v>44504</v>
      </c>
      <c r="C76" s="1" t="n">
        <v>46200</v>
      </c>
      <c r="D76" t="inlineStr">
        <is>
          <t>KRONOBERGS LÄN</t>
        </is>
      </c>
      <c r="E76" t="inlineStr">
        <is>
          <t>ALVESTA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46200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</v>
      </c>
      <c r="C78" s="1" t="n">
        <v>46200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46200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49430-2021</t>
        </is>
      </c>
      <c r="B80" s="1" t="n">
        <v>44454</v>
      </c>
      <c r="C80" s="1" t="n">
        <v>46200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46200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</v>
      </c>
      <c r="C82" s="1" t="n">
        <v>46200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46200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50908-2022</t>
        </is>
      </c>
      <c r="B84" s="1" t="n">
        <v>44867</v>
      </c>
      <c r="C84" s="1" t="n">
        <v>46200</v>
      </c>
      <c r="D84" t="inlineStr">
        <is>
          <t>KRONOBERGS LÄN</t>
        </is>
      </c>
      <c r="E84" t="inlineStr">
        <is>
          <t>ALVESTA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</v>
      </c>
      <c r="C85" s="1" t="n">
        <v>46200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43000-2022</t>
        </is>
      </c>
      <c r="B86" s="1" t="n">
        <v>44833</v>
      </c>
      <c r="C86" s="1" t="n">
        <v>46200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26092-2022</t>
        </is>
      </c>
      <c r="B87" s="1" t="n">
        <v>44734</v>
      </c>
      <c r="C87" s="1" t="n">
        <v>46200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46200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40791-2022</t>
        </is>
      </c>
      <c r="B89" s="1" t="n">
        <v>44824</v>
      </c>
      <c r="C89" s="1" t="n">
        <v>46200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</v>
      </c>
      <c r="C90" s="1" t="n">
        <v>46200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48763-2022</t>
        </is>
      </c>
      <c r="B91" s="1" t="n">
        <v>44859</v>
      </c>
      <c r="C91" s="1" t="n">
        <v>46200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43933-2021</t>
        </is>
      </c>
      <c r="B92" s="1" t="n">
        <v>44434</v>
      </c>
      <c r="C92" s="1" t="n">
        <v>46200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26695-2022</t>
        </is>
      </c>
      <c r="B93" s="1" t="n">
        <v>44739</v>
      </c>
      <c r="C93" s="1" t="n">
        <v>46200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65372-2021</t>
        </is>
      </c>
      <c r="B94" s="1" t="n">
        <v>44515</v>
      </c>
      <c r="C94" s="1" t="n">
        <v>46200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26376-2022</t>
        </is>
      </c>
      <c r="B95" s="1" t="n">
        <v>44735</v>
      </c>
      <c r="C95" s="1" t="n">
        <v>46200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9000-2022</t>
        </is>
      </c>
      <c r="B96" s="1" t="n">
        <v>44615</v>
      </c>
      <c r="C96" s="1" t="n">
        <v>46200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46200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46200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46200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46200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59220-2021</t>
        </is>
      </c>
      <c r="B101" s="1" t="n">
        <v>44490</v>
      </c>
      <c r="C101" s="1" t="n">
        <v>46200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51310-2021</t>
        </is>
      </c>
      <c r="B102" s="1" t="n">
        <v>44461</v>
      </c>
      <c r="C102" s="1" t="n">
        <v>46200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46200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46200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53937-2021</t>
        </is>
      </c>
      <c r="B105" s="1" t="n">
        <v>44469</v>
      </c>
      <c r="C105" s="1" t="n">
        <v>46200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44831-2021</t>
        </is>
      </c>
      <c r="B106" s="1" t="n">
        <v>44438</v>
      </c>
      <c r="C106" s="1" t="n">
        <v>46200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7237-2022</t>
        </is>
      </c>
      <c r="B107" s="1" t="n">
        <v>44606</v>
      </c>
      <c r="C107" s="1" t="n">
        <v>46200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56112-2021</t>
        </is>
      </c>
      <c r="B108" s="1" t="n">
        <v>44477</v>
      </c>
      <c r="C108" s="1" t="n">
        <v>46200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12608-2023</t>
        </is>
      </c>
      <c r="B109" s="1" t="n">
        <v>45000</v>
      </c>
      <c r="C109" s="1" t="n">
        <v>46200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36509-2022</t>
        </is>
      </c>
      <c r="B110" s="1" t="n">
        <v>44804</v>
      </c>
      <c r="C110" s="1" t="n">
        <v>46200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48034-2022</t>
        </is>
      </c>
      <c r="B111" s="1" t="n">
        <v>44855</v>
      </c>
      <c r="C111" s="1" t="n">
        <v>46200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</v>
      </c>
      <c r="C112" s="1" t="n">
        <v>46200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18680-2023</t>
        </is>
      </c>
      <c r="B113" s="1" t="n">
        <v>45043</v>
      </c>
      <c r="C113" s="1" t="n">
        <v>46200</v>
      </c>
      <c r="D113" t="inlineStr">
        <is>
          <t>KRONOBERGS LÄN</t>
        </is>
      </c>
      <c r="E113" t="inlineStr">
        <is>
          <t>ALVESTA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44901-2021</t>
        </is>
      </c>
      <c r="B114" s="1" t="n">
        <v>44438</v>
      </c>
      <c r="C114" s="1" t="n">
        <v>46200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14069-2025</t>
        </is>
      </c>
      <c r="B115" s="1" t="n">
        <v>45740</v>
      </c>
      <c r="C115" s="1" t="n">
        <v>46200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6370-2024</t>
        </is>
      </c>
      <c r="B116" s="1" t="n">
        <v>45338</v>
      </c>
      <c r="C116" s="1" t="n">
        <v>46200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14836-2022</t>
        </is>
      </c>
      <c r="B117" s="1" t="n">
        <v>44656</v>
      </c>
      <c r="C117" s="1" t="n">
        <v>46200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46200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</v>
      </c>
      <c r="C119" s="1" t="n">
        <v>46200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27736-2022</t>
        </is>
      </c>
      <c r="B120" s="1" t="n">
        <v>44743</v>
      </c>
      <c r="C120" s="1" t="n">
        <v>46200</v>
      </c>
      <c r="D120" t="inlineStr">
        <is>
          <t>KRONOBERGS LÄN</t>
        </is>
      </c>
      <c r="E120" t="inlineStr">
        <is>
          <t>ALVESTA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13369-2023</t>
        </is>
      </c>
      <c r="B121" s="1" t="n">
        <v>45005</v>
      </c>
      <c r="C121" s="1" t="n">
        <v>46200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15262-2024</t>
        </is>
      </c>
      <c r="B122" s="1" t="n">
        <v>45400</v>
      </c>
      <c r="C122" s="1" t="n">
        <v>46200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46200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27710-2022</t>
        </is>
      </c>
      <c r="B124" s="1" t="n">
        <v>44743</v>
      </c>
      <c r="C124" s="1" t="n">
        <v>46200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27731-2022</t>
        </is>
      </c>
      <c r="B125" s="1" t="n">
        <v>44743</v>
      </c>
      <c r="C125" s="1" t="n">
        <v>46200</v>
      </c>
      <c r="D125" t="inlineStr">
        <is>
          <t>KRONOBERGS LÄN</t>
        </is>
      </c>
      <c r="E125" t="inlineStr">
        <is>
          <t>ALVESTA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28818-2022</t>
        </is>
      </c>
      <c r="B126" s="1" t="n">
        <v>44749</v>
      </c>
      <c r="C126" s="1" t="n">
        <v>46200</v>
      </c>
      <c r="D126" t="inlineStr">
        <is>
          <t>KRONOBERGS LÄN</t>
        </is>
      </c>
      <c r="E126" t="inlineStr">
        <is>
          <t>ALVESTA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40049-2022</t>
        </is>
      </c>
      <c r="B127" s="1" t="n">
        <v>44820</v>
      </c>
      <c r="C127" s="1" t="n">
        <v>46200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6094-2024</t>
        </is>
      </c>
      <c r="B128" s="1" t="n">
        <v>45337</v>
      </c>
      <c r="C128" s="1" t="n">
        <v>46200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15062-2023</t>
        </is>
      </c>
      <c r="B129" s="1" t="n">
        <v>45015</v>
      </c>
      <c r="C129" s="1" t="n">
        <v>46200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50871-2023</t>
        </is>
      </c>
      <c r="B130" s="1" t="n">
        <v>45218</v>
      </c>
      <c r="C130" s="1" t="n">
        <v>46200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35377-2021</t>
        </is>
      </c>
      <c r="B131" s="1" t="n">
        <v>44385</v>
      </c>
      <c r="C131" s="1" t="n">
        <v>46200</v>
      </c>
      <c r="D131" t="inlineStr">
        <is>
          <t>KRONOBERGS LÄN</t>
        </is>
      </c>
      <c r="E131" t="inlineStr">
        <is>
          <t>ALVESTA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13674-2022</t>
        </is>
      </c>
      <c r="B132" s="1" t="n">
        <v>44648</v>
      </c>
      <c r="C132" s="1" t="n">
        <v>46200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10861-2023</t>
        </is>
      </c>
      <c r="B133" s="1" t="n">
        <v>44991</v>
      </c>
      <c r="C133" s="1" t="n">
        <v>46200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1655-2023</t>
        </is>
      </c>
      <c r="B134" s="1" t="n">
        <v>44938</v>
      </c>
      <c r="C134" s="1" t="n">
        <v>46200</v>
      </c>
      <c r="D134" t="inlineStr">
        <is>
          <t>KRONOBERGS LÄN</t>
        </is>
      </c>
      <c r="E134" t="inlineStr">
        <is>
          <t>ALVESTA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32759-2022</t>
        </is>
      </c>
      <c r="B135" s="1" t="n">
        <v>44783</v>
      </c>
      <c r="C135" s="1" t="n">
        <v>46200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9404-2024</t>
        </is>
      </c>
      <c r="B136" s="1" t="n">
        <v>45359</v>
      </c>
      <c r="C136" s="1" t="n">
        <v>46200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46448-2021</t>
        </is>
      </c>
      <c r="B137" s="1" t="n">
        <v>44445</v>
      </c>
      <c r="C137" s="1" t="n">
        <v>46200</v>
      </c>
      <c r="D137" t="inlineStr">
        <is>
          <t>KRONOBERGS LÄN</t>
        </is>
      </c>
      <c r="E137" t="inlineStr">
        <is>
          <t>ALVESTA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40998-2023</t>
        </is>
      </c>
      <c r="B138" s="1" t="n">
        <v>45173</v>
      </c>
      <c r="C138" s="1" t="n">
        <v>46200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760-2022</t>
        </is>
      </c>
      <c r="B139" s="1" t="n">
        <v>44569</v>
      </c>
      <c r="C139" s="1" t="n">
        <v>46200</v>
      </c>
      <c r="D139" t="inlineStr">
        <is>
          <t>KRONOBERGS LÄN</t>
        </is>
      </c>
      <c r="E139" t="inlineStr">
        <is>
          <t>ALVESTA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60559-2022</t>
        </is>
      </c>
      <c r="B140" s="1" t="n">
        <v>44911</v>
      </c>
      <c r="C140" s="1" t="n">
        <v>46200</v>
      </c>
      <c r="D140" t="inlineStr">
        <is>
          <t>KRONOBERGS LÄN</t>
        </is>
      </c>
      <c r="E140" t="inlineStr">
        <is>
          <t>ALVESTA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9987-2023</t>
        </is>
      </c>
      <c r="B141" s="1" t="n">
        <v>44985</v>
      </c>
      <c r="C141" s="1" t="n">
        <v>46200</v>
      </c>
      <c r="D141" t="inlineStr">
        <is>
          <t>KRONOBERGS LÄN</t>
        </is>
      </c>
      <c r="E141" t="inlineStr">
        <is>
          <t>ALVESTA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58268-2022</t>
        </is>
      </c>
      <c r="B142" s="1" t="n">
        <v>44901</v>
      </c>
      <c r="C142" s="1" t="n">
        <v>46200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20180-2023</t>
        </is>
      </c>
      <c r="B143" s="1" t="n">
        <v>45055</v>
      </c>
      <c r="C143" s="1" t="n">
        <v>46200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</v>
      </c>
      <c r="C144" s="1" t="n">
        <v>46200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46200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58648-2024</t>
        </is>
      </c>
      <c r="B146" s="1" t="n">
        <v>45635</v>
      </c>
      <c r="C146" s="1" t="n">
        <v>46200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46200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40304-2021</t>
        </is>
      </c>
      <c r="B148" s="1" t="n">
        <v>44419</v>
      </c>
      <c r="C148" s="1" t="n">
        <v>46200</v>
      </c>
      <c r="D148" t="inlineStr">
        <is>
          <t>KRONOBERGS LÄN</t>
        </is>
      </c>
      <c r="E148" t="inlineStr">
        <is>
          <t>ALVESTA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6475-2022</t>
        </is>
      </c>
      <c r="B149" s="1" t="n">
        <v>44601</v>
      </c>
      <c r="C149" s="1" t="n">
        <v>46200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29097-2023</t>
        </is>
      </c>
      <c r="B150" s="1" t="n">
        <v>45105</v>
      </c>
      <c r="C150" s="1" t="n">
        <v>46200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24169-2023</t>
        </is>
      </c>
      <c r="B151" s="1" t="n">
        <v>45079</v>
      </c>
      <c r="C151" s="1" t="n">
        <v>46200</v>
      </c>
      <c r="D151" t="inlineStr">
        <is>
          <t>KRONOBERGS LÄN</t>
        </is>
      </c>
      <c r="E151" t="inlineStr">
        <is>
          <t>ALVESTA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67331-2021</t>
        </is>
      </c>
      <c r="B152" s="1" t="n">
        <v>44523</v>
      </c>
      <c r="C152" s="1" t="n">
        <v>46200</v>
      </c>
      <c r="D152" t="inlineStr">
        <is>
          <t>KRONOBERGS LÄN</t>
        </is>
      </c>
      <c r="E152" t="inlineStr">
        <is>
          <t>ALVESTA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32760-2022</t>
        </is>
      </c>
      <c r="B153" s="1" t="n">
        <v>44783</v>
      </c>
      <c r="C153" s="1" t="n">
        <v>46200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5061-2023</t>
        </is>
      </c>
      <c r="B154" s="1" t="n">
        <v>44958</v>
      </c>
      <c r="C154" s="1" t="n">
        <v>46200</v>
      </c>
      <c r="D154" t="inlineStr">
        <is>
          <t>KRONOBERGS LÄN</t>
        </is>
      </c>
      <c r="E154" t="inlineStr">
        <is>
          <t>ALVESTA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6367-2024</t>
        </is>
      </c>
      <c r="B155" s="1" t="n">
        <v>45338</v>
      </c>
      <c r="C155" s="1" t="n">
        <v>46200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3118-2025</t>
        </is>
      </c>
      <c r="B156" s="1" t="n">
        <v>45678</v>
      </c>
      <c r="C156" s="1" t="n">
        <v>46200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9673-2024</t>
        </is>
      </c>
      <c r="B157" s="1" t="n">
        <v>45362</v>
      </c>
      <c r="C157" s="1" t="n">
        <v>46200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6020-2024</t>
        </is>
      </c>
      <c r="B158" s="1" t="n">
        <v>45336</v>
      </c>
      <c r="C158" s="1" t="n">
        <v>46200</v>
      </c>
      <c r="D158" t="inlineStr">
        <is>
          <t>KRONOBERGS LÄN</t>
        </is>
      </c>
      <c r="E158" t="inlineStr">
        <is>
          <t>ALVESTA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6340-2025</t>
        </is>
      </c>
      <c r="B159" s="1" t="n">
        <v>45699</v>
      </c>
      <c r="C159" s="1" t="n">
        <v>46200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50689-2023</t>
        </is>
      </c>
      <c r="B160" s="1" t="n">
        <v>45210</v>
      </c>
      <c r="C160" s="1" t="n">
        <v>46200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50697-2023</t>
        </is>
      </c>
      <c r="B161" s="1" t="n">
        <v>45217</v>
      </c>
      <c r="C161" s="1" t="n">
        <v>46200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30699-2023</t>
        </is>
      </c>
      <c r="B162" s="1" t="n">
        <v>45103</v>
      </c>
      <c r="C162" s="1" t="n">
        <v>46200</v>
      </c>
      <c r="D162" t="inlineStr">
        <is>
          <t>KRONOBERGS LÄN</t>
        </is>
      </c>
      <c r="E162" t="inlineStr">
        <is>
          <t>ALVESTA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31074-2023</t>
        </is>
      </c>
      <c r="B163" s="1" t="n">
        <v>45113</v>
      </c>
      <c r="C163" s="1" t="n">
        <v>46200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10577-2024</t>
        </is>
      </c>
      <c r="B164" s="1" t="n">
        <v>45366</v>
      </c>
      <c r="C164" s="1" t="n">
        <v>46200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683-2025</t>
        </is>
      </c>
      <c r="B165" s="1" t="n">
        <v>45664</v>
      </c>
      <c r="C165" s="1" t="n">
        <v>46200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</v>
      </c>
      <c r="C166" s="1" t="n">
        <v>46200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21564-2022</t>
        </is>
      </c>
      <c r="B167" s="1" t="n">
        <v>44706</v>
      </c>
      <c r="C167" s="1" t="n">
        <v>46200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21568-2022</t>
        </is>
      </c>
      <c r="B168" s="1" t="n">
        <v>44706</v>
      </c>
      <c r="C168" s="1" t="n">
        <v>46200</v>
      </c>
      <c r="D168" t="inlineStr">
        <is>
          <t>KRONOBERGS LÄN</t>
        </is>
      </c>
      <c r="E168" t="inlineStr">
        <is>
          <t>ALVESTA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14324-2023</t>
        </is>
      </c>
      <c r="B169" s="1" t="n">
        <v>45012</v>
      </c>
      <c r="C169" s="1" t="n">
        <v>46200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33059-2024</t>
        </is>
      </c>
      <c r="B170" s="1" t="n">
        <v>45517</v>
      </c>
      <c r="C170" s="1" t="n">
        <v>46200</v>
      </c>
      <c r="D170" t="inlineStr">
        <is>
          <t>KRONOBERGS LÄN</t>
        </is>
      </c>
      <c r="E170" t="inlineStr">
        <is>
          <t>ALVESTA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6210-2022</t>
        </is>
      </c>
      <c r="B171" s="1" t="n">
        <v>44600</v>
      </c>
      <c r="C171" s="1" t="n">
        <v>46200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4334-2024</t>
        </is>
      </c>
      <c r="B172" s="1" t="n">
        <v>45324</v>
      </c>
      <c r="C172" s="1" t="n">
        <v>46200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31272-2023</t>
        </is>
      </c>
      <c r="B173" s="1" t="n">
        <v>45114</v>
      </c>
      <c r="C173" s="1" t="n">
        <v>46200</v>
      </c>
      <c r="D173" t="inlineStr">
        <is>
          <t>KRONOBERGS LÄN</t>
        </is>
      </c>
      <c r="E173" t="inlineStr">
        <is>
          <t>ALVESTA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60478-2023</t>
        </is>
      </c>
      <c r="B174" s="1" t="n">
        <v>45259</v>
      </c>
      <c r="C174" s="1" t="n">
        <v>46200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43959-2022</t>
        </is>
      </c>
      <c r="B175" s="1" t="n">
        <v>44838</v>
      </c>
      <c r="C175" s="1" t="n">
        <v>46200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52087-2024</t>
        </is>
      </c>
      <c r="B176" s="1" t="n">
        <v>45608</v>
      </c>
      <c r="C176" s="1" t="n">
        <v>46200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38899-2024</t>
        </is>
      </c>
      <c r="B177" s="1" t="n">
        <v>45547</v>
      </c>
      <c r="C177" s="1" t="n">
        <v>46200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7287-2022</t>
        </is>
      </c>
      <c r="B178" s="1" t="n">
        <v>44606</v>
      </c>
      <c r="C178" s="1" t="n">
        <v>46200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18646-2022</t>
        </is>
      </c>
      <c r="B179" s="1" t="n">
        <v>44687</v>
      </c>
      <c r="C179" s="1" t="n">
        <v>46200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2310-2025</t>
        </is>
      </c>
      <c r="B180" s="1" t="n">
        <v>45673</v>
      </c>
      <c r="C180" s="1" t="n">
        <v>46200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49602-2024</t>
        </is>
      </c>
      <c r="B181" s="1" t="n">
        <v>45596</v>
      </c>
      <c r="C181" s="1" t="n">
        <v>46200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1060-2023</t>
        </is>
      </c>
      <c r="B182" s="1" t="n">
        <v>44935</v>
      </c>
      <c r="C182" s="1" t="n">
        <v>46200</v>
      </c>
      <c r="D182" t="inlineStr">
        <is>
          <t>KRONOBERGS LÄN</t>
        </is>
      </c>
      <c r="E182" t="inlineStr">
        <is>
          <t>ALVESTA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</v>
      </c>
      <c r="C183" s="1" t="n">
        <v>46200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25179-2024</t>
        </is>
      </c>
      <c r="B184" s="1" t="n">
        <v>45462</v>
      </c>
      <c r="C184" s="1" t="n">
        <v>46200</v>
      </c>
      <c r="D184" t="inlineStr">
        <is>
          <t>KRONOBERGS LÄN</t>
        </is>
      </c>
      <c r="E184" t="inlineStr">
        <is>
          <t>ALVESTA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33215-2024</t>
        </is>
      </c>
      <c r="B185" s="1" t="n">
        <v>45518</v>
      </c>
      <c r="C185" s="1" t="n">
        <v>46200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27034-2023</t>
        </is>
      </c>
      <c r="B186" s="1" t="n">
        <v>45095</v>
      </c>
      <c r="C186" s="1" t="n">
        <v>46200</v>
      </c>
      <c r="D186" t="inlineStr">
        <is>
          <t>KRONOBERGS LÄN</t>
        </is>
      </c>
      <c r="E186" t="inlineStr">
        <is>
          <t>ALVESTA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19793-2025</t>
        </is>
      </c>
      <c r="B187" s="1" t="n">
        <v>45771</v>
      </c>
      <c r="C187" s="1" t="n">
        <v>46200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61282-2023</t>
        </is>
      </c>
      <c r="B188" s="1" t="n">
        <v>45264</v>
      </c>
      <c r="C188" s="1" t="n">
        <v>46200</v>
      </c>
      <c r="D188" t="inlineStr">
        <is>
          <t>KRONOBERGS LÄN</t>
        </is>
      </c>
      <c r="E188" t="inlineStr">
        <is>
          <t>ALVESTA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19796-2025</t>
        </is>
      </c>
      <c r="B189" s="1" t="n">
        <v>45771</v>
      </c>
      <c r="C189" s="1" t="n">
        <v>46200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58299-2024</t>
        </is>
      </c>
      <c r="B190" s="1" t="n">
        <v>45632</v>
      </c>
      <c r="C190" s="1" t="n">
        <v>46200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29579-2022</t>
        </is>
      </c>
      <c r="B191" s="1" t="n">
        <v>44754</v>
      </c>
      <c r="C191" s="1" t="n">
        <v>46200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62230-2023</t>
        </is>
      </c>
      <c r="B192" s="1" t="n">
        <v>45267</v>
      </c>
      <c r="C192" s="1" t="n">
        <v>46200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42364-2024</t>
        </is>
      </c>
      <c r="B193" s="1" t="n">
        <v>45563</v>
      </c>
      <c r="C193" s="1" t="n">
        <v>46200</v>
      </c>
      <c r="D193" t="inlineStr">
        <is>
          <t>KRONOBERGS LÄN</t>
        </is>
      </c>
      <c r="E193" t="inlineStr">
        <is>
          <t>ALVESTA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52172-2022</t>
        </is>
      </c>
      <c r="B194" s="1" t="n">
        <v>44873</v>
      </c>
      <c r="C194" s="1" t="n">
        <v>46200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52103-2024</t>
        </is>
      </c>
      <c r="B195" s="1" t="n">
        <v>45608</v>
      </c>
      <c r="C195" s="1" t="n">
        <v>46200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57987-2021</t>
        </is>
      </c>
      <c r="B196" s="1" t="n">
        <v>44487</v>
      </c>
      <c r="C196" s="1" t="n">
        <v>46200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38859-2023</t>
        </is>
      </c>
      <c r="B197" s="1" t="n">
        <v>45163</v>
      </c>
      <c r="C197" s="1" t="n">
        <v>46200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31855-2023</t>
        </is>
      </c>
      <c r="B198" s="1" t="n">
        <v>45106</v>
      </c>
      <c r="C198" s="1" t="n">
        <v>46200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62969-2023</t>
        </is>
      </c>
      <c r="B199" s="1" t="n">
        <v>45272</v>
      </c>
      <c r="C199" s="1" t="n">
        <v>46200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20628-2024</t>
        </is>
      </c>
      <c r="B200" s="1" t="n">
        <v>45436</v>
      </c>
      <c r="C200" s="1" t="n">
        <v>46200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34130-2023</t>
        </is>
      </c>
      <c r="B201" s="1" t="n">
        <v>45135</v>
      </c>
      <c r="C201" s="1" t="n">
        <v>46200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13648-2024</t>
        </is>
      </c>
      <c r="B202" s="1" t="n">
        <v>45390</v>
      </c>
      <c r="C202" s="1" t="n">
        <v>46200</v>
      </c>
      <c r="D202" t="inlineStr">
        <is>
          <t>KRONOBERGS LÄN</t>
        </is>
      </c>
      <c r="E202" t="inlineStr">
        <is>
          <t>ALVESTA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56552-2021</t>
        </is>
      </c>
      <c r="B203" s="1" t="n">
        <v>44480</v>
      </c>
      <c r="C203" s="1" t="n">
        <v>46200</v>
      </c>
      <c r="D203" t="inlineStr">
        <is>
          <t>KRONOBERGS LÄN</t>
        </is>
      </c>
      <c r="E203" t="inlineStr">
        <is>
          <t>ALVESTA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15171-2025</t>
        </is>
      </c>
      <c r="B204" s="1" t="n">
        <v>45744</v>
      </c>
      <c r="C204" s="1" t="n">
        <v>46200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26381-2022</t>
        </is>
      </c>
      <c r="B205" s="1" t="n">
        <v>44735</v>
      </c>
      <c r="C205" s="1" t="n">
        <v>46200</v>
      </c>
      <c r="D205" t="inlineStr">
        <is>
          <t>KRONOBERGS LÄN</t>
        </is>
      </c>
      <c r="E205" t="inlineStr">
        <is>
          <t>ALVESTA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57948-2023</t>
        </is>
      </c>
      <c r="B206" s="1" t="n">
        <v>45247</v>
      </c>
      <c r="C206" s="1" t="n">
        <v>46200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28336-2022</t>
        </is>
      </c>
      <c r="B207" s="1" t="n">
        <v>44747</v>
      </c>
      <c r="C207" s="1" t="n">
        <v>46200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8781-2023</t>
        </is>
      </c>
      <c r="B208" s="1" t="n">
        <v>44978</v>
      </c>
      <c r="C208" s="1" t="n">
        <v>46200</v>
      </c>
      <c r="D208" t="inlineStr">
        <is>
          <t>KRONOBERGS LÄN</t>
        </is>
      </c>
      <c r="E208" t="inlineStr">
        <is>
          <t>ALVESTA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34126-2023</t>
        </is>
      </c>
      <c r="B209" s="1" t="n">
        <v>45135</v>
      </c>
      <c r="C209" s="1" t="n">
        <v>46200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25598-2023</t>
        </is>
      </c>
      <c r="B210" s="1" t="n">
        <v>45089</v>
      </c>
      <c r="C210" s="1" t="n">
        <v>46200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47462-2024</t>
        </is>
      </c>
      <c r="B211" s="1" t="n">
        <v>45587</v>
      </c>
      <c r="C211" s="1" t="n">
        <v>46200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25945-2023</t>
        </is>
      </c>
      <c r="B212" s="1" t="n">
        <v>45090</v>
      </c>
      <c r="C212" s="1" t="n">
        <v>46200</v>
      </c>
      <c r="D212" t="inlineStr">
        <is>
          <t>KRONOBERGS LÄN</t>
        </is>
      </c>
      <c r="E212" t="inlineStr">
        <is>
          <t>ALVESTA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44487-2021</t>
        </is>
      </c>
      <c r="B213" s="1" t="n">
        <v>44435</v>
      </c>
      <c r="C213" s="1" t="n">
        <v>46200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2847-2022</t>
        </is>
      </c>
      <c r="B214" s="1" t="n">
        <v>44581</v>
      </c>
      <c r="C214" s="1" t="n">
        <v>46200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54966-2023</t>
        </is>
      </c>
      <c r="B215" s="1" t="n">
        <v>45236</v>
      </c>
      <c r="C215" s="1" t="n">
        <v>46200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12065-2025</t>
        </is>
      </c>
      <c r="B216" s="1" t="n">
        <v>45728</v>
      </c>
      <c r="C216" s="1" t="n">
        <v>46200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25297-2023</t>
        </is>
      </c>
      <c r="B217" s="1" t="n">
        <v>45086</v>
      </c>
      <c r="C217" s="1" t="n">
        <v>46200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14133-2023</t>
        </is>
      </c>
      <c r="B218" s="1" t="n">
        <v>45009</v>
      </c>
      <c r="C218" s="1" t="n">
        <v>46200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7175-2023</t>
        </is>
      </c>
      <c r="B219" s="1" t="n">
        <v>44970</v>
      </c>
      <c r="C219" s="1" t="n">
        <v>46200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36750-2022</t>
        </is>
      </c>
      <c r="B220" s="1" t="n">
        <v>44805</v>
      </c>
      <c r="C220" s="1" t="n">
        <v>46200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17750-2024</t>
        </is>
      </c>
      <c r="B221" s="1" t="n">
        <v>45418</v>
      </c>
      <c r="C221" s="1" t="n">
        <v>46200</v>
      </c>
      <c r="D221" t="inlineStr">
        <is>
          <t>KRONOBERGS LÄN</t>
        </is>
      </c>
      <c r="E221" t="inlineStr">
        <is>
          <t>ALVESTA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16271-2022</t>
        </is>
      </c>
      <c r="B222" s="1" t="n">
        <v>44670</v>
      </c>
      <c r="C222" s="1" t="n">
        <v>46200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60487-2023</t>
        </is>
      </c>
      <c r="B223" s="1" t="n">
        <v>45259</v>
      </c>
      <c r="C223" s="1" t="n">
        <v>46200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37843-2024</t>
        </is>
      </c>
      <c r="B224" s="1" t="n">
        <v>45544</v>
      </c>
      <c r="C224" s="1" t="n">
        <v>46200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52110-2024</t>
        </is>
      </c>
      <c r="B225" s="1" t="n">
        <v>45608</v>
      </c>
      <c r="C225" s="1" t="n">
        <v>46200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57235-2024</t>
        </is>
      </c>
      <c r="B226" s="1" t="n">
        <v>45629</v>
      </c>
      <c r="C226" s="1" t="n">
        <v>46200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39258-2023</t>
        </is>
      </c>
      <c r="B227" s="1" t="n">
        <v>45166</v>
      </c>
      <c r="C227" s="1" t="n">
        <v>46200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52061-2023</t>
        </is>
      </c>
      <c r="B228" s="1" t="n">
        <v>45216</v>
      </c>
      <c r="C228" s="1" t="n">
        <v>46200</v>
      </c>
      <c r="D228" t="inlineStr">
        <is>
          <t>KRONOBERGS LÄN</t>
        </is>
      </c>
      <c r="E228" t="inlineStr">
        <is>
          <t>ALVESTA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32374-2023</t>
        </is>
      </c>
      <c r="B229" s="1" t="n">
        <v>45110</v>
      </c>
      <c r="C229" s="1" t="n">
        <v>46200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58641-2024</t>
        </is>
      </c>
      <c r="B230" s="1" t="n">
        <v>45635</v>
      </c>
      <c r="C230" s="1" t="n">
        <v>46200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32978-2023</t>
        </is>
      </c>
      <c r="B231" s="1" t="n">
        <v>45113</v>
      </c>
      <c r="C231" s="1" t="n">
        <v>46200</v>
      </c>
      <c r="D231" t="inlineStr">
        <is>
          <t>KRONOBERGS LÄN</t>
        </is>
      </c>
      <c r="E231" t="inlineStr">
        <is>
          <t>ALVESTA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9822-2022</t>
        </is>
      </c>
      <c r="B232" s="1" t="n">
        <v>44620</v>
      </c>
      <c r="C232" s="1" t="n">
        <v>46200</v>
      </c>
      <c r="D232" t="inlineStr">
        <is>
          <t>KRONOBERGS LÄN</t>
        </is>
      </c>
      <c r="E232" t="inlineStr">
        <is>
          <t>ALVESTA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9801-2025</t>
        </is>
      </c>
      <c r="B233" s="1" t="n">
        <v>45715</v>
      </c>
      <c r="C233" s="1" t="n">
        <v>46200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59621-2023</t>
        </is>
      </c>
      <c r="B234" s="1" t="n">
        <v>45254</v>
      </c>
      <c r="C234" s="1" t="n">
        <v>46200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54015-2023</t>
        </is>
      </c>
      <c r="B235" s="1" t="n">
        <v>45231</v>
      </c>
      <c r="C235" s="1" t="n">
        <v>46200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7706-2024</t>
        </is>
      </c>
      <c r="B236" s="1" t="n">
        <v>45349</v>
      </c>
      <c r="C236" s="1" t="n">
        <v>46200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7627-2023</t>
        </is>
      </c>
      <c r="B237" s="1" t="n">
        <v>44972</v>
      </c>
      <c r="C237" s="1" t="n">
        <v>46200</v>
      </c>
      <c r="D237" t="inlineStr">
        <is>
          <t>KRONOBERGS LÄN</t>
        </is>
      </c>
      <c r="E237" t="inlineStr">
        <is>
          <t>ALVESTA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36817-2024</t>
        </is>
      </c>
      <c r="B238" s="1" t="n">
        <v>45538</v>
      </c>
      <c r="C238" s="1" t="n">
        <v>46200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6835-2024</t>
        </is>
      </c>
      <c r="B239" s="1" t="n">
        <v>45342</v>
      </c>
      <c r="C239" s="1" t="n">
        <v>46200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46200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39100-2024</t>
        </is>
      </c>
      <c r="B241" s="1" t="n">
        <v>45548</v>
      </c>
      <c r="C241" s="1" t="n">
        <v>46200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44818-2024</t>
        </is>
      </c>
      <c r="B242" s="1" t="n">
        <v>45574</v>
      </c>
      <c r="C242" s="1" t="n">
        <v>46200</v>
      </c>
      <c r="D242" t="inlineStr">
        <is>
          <t>KRONOBERGS LÄN</t>
        </is>
      </c>
      <c r="E242" t="inlineStr">
        <is>
          <t>ALVESTA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46200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38498-2024</t>
        </is>
      </c>
      <c r="B244" s="1" t="n">
        <v>45546</v>
      </c>
      <c r="C244" s="1" t="n">
        <v>46200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40366-2023</t>
        </is>
      </c>
      <c r="B245" s="1" t="n">
        <v>45169</v>
      </c>
      <c r="C245" s="1" t="n">
        <v>46200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56589-2022</t>
        </is>
      </c>
      <c r="B246" s="1" t="n">
        <v>44893</v>
      </c>
      <c r="C246" s="1" t="n">
        <v>46200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5045-2024</t>
        </is>
      </c>
      <c r="B247" s="1" t="n">
        <v>45329</v>
      </c>
      <c r="C247" s="1" t="n">
        <v>46200</v>
      </c>
      <c r="D247" t="inlineStr">
        <is>
          <t>KRONOBERGS LÄN</t>
        </is>
      </c>
      <c r="E247" t="inlineStr">
        <is>
          <t>ALVESTA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16357-2024</t>
        </is>
      </c>
      <c r="B248" s="1" t="n">
        <v>45407</v>
      </c>
      <c r="C248" s="1" t="n">
        <v>46200</v>
      </c>
      <c r="D248" t="inlineStr">
        <is>
          <t>KRONOBERGS LÄN</t>
        </is>
      </c>
      <c r="E248" t="inlineStr">
        <is>
          <t>ALVESTA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62704-2021</t>
        </is>
      </c>
      <c r="B249" s="1" t="n">
        <v>44504</v>
      </c>
      <c r="C249" s="1" t="n">
        <v>46200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8293-2025</t>
        </is>
      </c>
      <c r="B250" s="1" t="n">
        <v>45708</v>
      </c>
      <c r="C250" s="1" t="n">
        <v>46200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34149-2023</t>
        </is>
      </c>
      <c r="B251" s="1" t="n">
        <v>45136</v>
      </c>
      <c r="C251" s="1" t="n">
        <v>46200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6100-2024</t>
        </is>
      </c>
      <c r="B252" s="1" t="n">
        <v>45337</v>
      </c>
      <c r="C252" s="1" t="n">
        <v>46200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20609-2024</t>
        </is>
      </c>
      <c r="B253" s="1" t="n">
        <v>45436</v>
      </c>
      <c r="C253" s="1" t="n">
        <v>46200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9395-2024</t>
        </is>
      </c>
      <c r="B254" s="1" t="n">
        <v>45359</v>
      </c>
      <c r="C254" s="1" t="n">
        <v>46200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12818-2025</t>
        </is>
      </c>
      <c r="B255" s="1" t="n">
        <v>45733</v>
      </c>
      <c r="C255" s="1" t="n">
        <v>46200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29133-2023</t>
        </is>
      </c>
      <c r="B256" s="1" t="n">
        <v>45105</v>
      </c>
      <c r="C256" s="1" t="n">
        <v>46200</v>
      </c>
      <c r="D256" t="inlineStr">
        <is>
          <t>KRONOBERGS LÄN</t>
        </is>
      </c>
      <c r="E256" t="inlineStr">
        <is>
          <t>ALVESTA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53367-2023</t>
        </is>
      </c>
      <c r="B257" s="1" t="n">
        <v>45229</v>
      </c>
      <c r="C257" s="1" t="n">
        <v>46200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61285-2023</t>
        </is>
      </c>
      <c r="B258" s="1" t="n">
        <v>45264</v>
      </c>
      <c r="C258" s="1" t="n">
        <v>46200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20618-2024</t>
        </is>
      </c>
      <c r="B259" s="1" t="n">
        <v>45436</v>
      </c>
      <c r="C259" s="1" t="n">
        <v>46200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46234-2023</t>
        </is>
      </c>
      <c r="B260" s="1" t="n">
        <v>45196</v>
      </c>
      <c r="C260" s="1" t="n">
        <v>46200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46200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42905-2023</t>
        </is>
      </c>
      <c r="B262" s="1" t="n">
        <v>45182</v>
      </c>
      <c r="C262" s="1" t="n">
        <v>46200</v>
      </c>
      <c r="D262" t="inlineStr">
        <is>
          <t>KRONOBERGS LÄN</t>
        </is>
      </c>
      <c r="E262" t="inlineStr">
        <is>
          <t>ALVESTA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18001-2023</t>
        </is>
      </c>
      <c r="B263" s="1" t="n">
        <v>45040</v>
      </c>
      <c r="C263" s="1" t="n">
        <v>46200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28027-2024</t>
        </is>
      </c>
      <c r="B264" s="1" t="n">
        <v>45476</v>
      </c>
      <c r="C264" s="1" t="n">
        <v>46200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44093-2022</t>
        </is>
      </c>
      <c r="B265" s="1" t="n">
        <v>44839</v>
      </c>
      <c r="C265" s="1" t="n">
        <v>46200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37624-2023</t>
        </is>
      </c>
      <c r="B266" s="1" t="n">
        <v>45159</v>
      </c>
      <c r="C266" s="1" t="n">
        <v>46200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13126-2024</t>
        </is>
      </c>
      <c r="B267" s="1" t="n">
        <v>45385</v>
      </c>
      <c r="C267" s="1" t="n">
        <v>46200</v>
      </c>
      <c r="D267" t="inlineStr">
        <is>
          <t>KRONOBERGS LÄN</t>
        </is>
      </c>
      <c r="E267" t="inlineStr">
        <is>
          <t>ALVESTA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24573-2024</t>
        </is>
      </c>
      <c r="B268" s="1" t="n">
        <v>45460</v>
      </c>
      <c r="C268" s="1" t="n">
        <v>46200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38875-2022</t>
        </is>
      </c>
      <c r="B269" s="1" t="n">
        <v>44816</v>
      </c>
      <c r="C269" s="1" t="n">
        <v>46200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39263-2023</t>
        </is>
      </c>
      <c r="B270" s="1" t="n">
        <v>45166</v>
      </c>
      <c r="C270" s="1" t="n">
        <v>46200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35729-2024</t>
        </is>
      </c>
      <c r="B271" s="1" t="n">
        <v>45532</v>
      </c>
      <c r="C271" s="1" t="n">
        <v>46200</v>
      </c>
      <c r="D271" t="inlineStr">
        <is>
          <t>KRONOBERGS LÄN</t>
        </is>
      </c>
      <c r="E271" t="inlineStr">
        <is>
          <t>ALVESTA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40566-2024</t>
        </is>
      </c>
      <c r="B272" s="1" t="n">
        <v>45555</v>
      </c>
      <c r="C272" s="1" t="n">
        <v>46200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25615-2024</t>
        </is>
      </c>
      <c r="B273" s="1" t="n">
        <v>45463</v>
      </c>
      <c r="C273" s="1" t="n">
        <v>46200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39309-2023</t>
        </is>
      </c>
      <c r="B274" s="1" t="n">
        <v>45166</v>
      </c>
      <c r="C274" s="1" t="n">
        <v>46200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40580-2021</t>
        </is>
      </c>
      <c r="B275" s="1" t="n">
        <v>44420</v>
      </c>
      <c r="C275" s="1" t="n">
        <v>46200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50629-2023</t>
        </is>
      </c>
      <c r="B276" s="1" t="n">
        <v>45217</v>
      </c>
      <c r="C276" s="1" t="n">
        <v>46200</v>
      </c>
      <c r="D276" t="inlineStr">
        <is>
          <t>KRONOBERGS LÄN</t>
        </is>
      </c>
      <c r="E276" t="inlineStr">
        <is>
          <t>ALVESTA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37947-2024</t>
        </is>
      </c>
      <c r="B277" s="1" t="n">
        <v>45544</v>
      </c>
      <c r="C277" s="1" t="n">
        <v>46200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5982-2024</t>
        </is>
      </c>
      <c r="B278" s="1" t="n">
        <v>45336</v>
      </c>
      <c r="C278" s="1" t="n">
        <v>46200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57118-2023</t>
        </is>
      </c>
      <c r="B279" s="1" t="n">
        <v>45245</v>
      </c>
      <c r="C279" s="1" t="n">
        <v>46200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36862-2022</t>
        </is>
      </c>
      <c r="B280" s="1" t="n">
        <v>44805</v>
      </c>
      <c r="C280" s="1" t="n">
        <v>46200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58287-2022</t>
        </is>
      </c>
      <c r="B281" s="1" t="n">
        <v>44901</v>
      </c>
      <c r="C281" s="1" t="n">
        <v>46200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58289-2022</t>
        </is>
      </c>
      <c r="B282" s="1" t="n">
        <v>44901</v>
      </c>
      <c r="C282" s="1" t="n">
        <v>46200</v>
      </c>
      <c r="D282" t="inlineStr">
        <is>
          <t>KRONOBERGS LÄN</t>
        </is>
      </c>
      <c r="E282" t="inlineStr">
        <is>
          <t>ALVESTA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29155-2024</t>
        </is>
      </c>
      <c r="B283" s="1" t="n">
        <v>45482</v>
      </c>
      <c r="C283" s="1" t="n">
        <v>46200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7703-2024</t>
        </is>
      </c>
      <c r="B284" s="1" t="n">
        <v>45349</v>
      </c>
      <c r="C284" s="1" t="n">
        <v>46200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6559-2023</t>
        </is>
      </c>
      <c r="B285" s="1" t="n">
        <v>44966</v>
      </c>
      <c r="C285" s="1" t="n">
        <v>46200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42467-2024</t>
        </is>
      </c>
      <c r="B286" s="1" t="n">
        <v>45565</v>
      </c>
      <c r="C286" s="1" t="n">
        <v>46200</v>
      </c>
      <c r="D286" t="inlineStr">
        <is>
          <t>KRONOBERGS LÄN</t>
        </is>
      </c>
      <c r="E286" t="inlineStr">
        <is>
          <t>ALVESTA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1055-2023</t>
        </is>
      </c>
      <c r="B287" s="1" t="n">
        <v>44935</v>
      </c>
      <c r="C287" s="1" t="n">
        <v>46200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37117-2023</t>
        </is>
      </c>
      <c r="B288" s="1" t="n">
        <v>45155</v>
      </c>
      <c r="C288" s="1" t="n">
        <v>46200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32334-2024</t>
        </is>
      </c>
      <c r="B289" s="1" t="n">
        <v>45512</v>
      </c>
      <c r="C289" s="1" t="n">
        <v>46200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34478-2021</t>
        </is>
      </c>
      <c r="B290" s="1" t="n">
        <v>44381</v>
      </c>
      <c r="C290" s="1" t="n">
        <v>46200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6365-2024</t>
        </is>
      </c>
      <c r="B291" s="1" t="n">
        <v>45338</v>
      </c>
      <c r="C291" s="1" t="n">
        <v>46200</v>
      </c>
      <c r="D291" t="inlineStr">
        <is>
          <t>KRONOBERGS LÄN</t>
        </is>
      </c>
      <c r="E291" t="inlineStr">
        <is>
          <t>ALVESTA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6368-2024</t>
        </is>
      </c>
      <c r="B292" s="1" t="n">
        <v>45338</v>
      </c>
      <c r="C292" s="1" t="n">
        <v>46200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7342-2024</t>
        </is>
      </c>
      <c r="B293" s="1" t="n">
        <v>45345</v>
      </c>
      <c r="C293" s="1" t="n">
        <v>46200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23909-2023</t>
        </is>
      </c>
      <c r="B294" s="1" t="n">
        <v>45078</v>
      </c>
      <c r="C294" s="1" t="n">
        <v>46200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49407-2024</t>
        </is>
      </c>
      <c r="B295" s="1" t="n">
        <v>45595</v>
      </c>
      <c r="C295" s="1" t="n">
        <v>46200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25261-2024</t>
        </is>
      </c>
      <c r="B296" s="1" t="n">
        <v>45462</v>
      </c>
      <c r="C296" s="1" t="n">
        <v>46200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8803-2024</t>
        </is>
      </c>
      <c r="B297" s="1" t="n">
        <v>45356</v>
      </c>
      <c r="C297" s="1" t="n">
        <v>46200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18836-2024</t>
        </is>
      </c>
      <c r="B298" s="1" t="n">
        <v>45426</v>
      </c>
      <c r="C298" s="1" t="n">
        <v>46200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1927-2024</t>
        </is>
      </c>
      <c r="B299" s="1" t="n">
        <v>45308</v>
      </c>
      <c r="C299" s="1" t="n">
        <v>46200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54667-2022</t>
        </is>
      </c>
      <c r="B300" s="1" t="n">
        <v>44881</v>
      </c>
      <c r="C300" s="1" t="n">
        <v>46200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58301-2024</t>
        </is>
      </c>
      <c r="B301" s="1" t="n">
        <v>45632</v>
      </c>
      <c r="C301" s="1" t="n">
        <v>46200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1540-2023</t>
        </is>
      </c>
      <c r="B302" s="1" t="n">
        <v>44935</v>
      </c>
      <c r="C302" s="1" t="n">
        <v>46200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26621-2022</t>
        </is>
      </c>
      <c r="B303" s="1" t="n">
        <v>44739</v>
      </c>
      <c r="C303" s="1" t="n">
        <v>46200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</v>
      </c>
      <c r="C304" s="1" t="n">
        <v>46200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4722-2024</t>
        </is>
      </c>
      <c r="B305" s="1" t="n">
        <v>45328</v>
      </c>
      <c r="C305" s="1" t="n">
        <v>46200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10198-2025</t>
        </is>
      </c>
      <c r="B306" s="1" t="n">
        <v>45719</v>
      </c>
      <c r="C306" s="1" t="n">
        <v>46200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34220-2024</t>
        </is>
      </c>
      <c r="B307" s="1" t="n">
        <v>45524</v>
      </c>
      <c r="C307" s="1" t="n">
        <v>46200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60157-2024</t>
        </is>
      </c>
      <c r="B308" s="1" t="n">
        <v>45642</v>
      </c>
      <c r="C308" s="1" t="n">
        <v>46200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2292-2025</t>
        </is>
      </c>
      <c r="B309" s="1" t="n">
        <v>45673</v>
      </c>
      <c r="C309" s="1" t="n">
        <v>46200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2302-2025</t>
        </is>
      </c>
      <c r="B310" s="1" t="n">
        <v>45673</v>
      </c>
      <c r="C310" s="1" t="n">
        <v>46200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9393-2024</t>
        </is>
      </c>
      <c r="B311" s="1" t="n">
        <v>45359</v>
      </c>
      <c r="C311" s="1" t="n">
        <v>46200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3257-2023</t>
        </is>
      </c>
      <c r="B312" s="1" t="n">
        <v>44948</v>
      </c>
      <c r="C312" s="1" t="n">
        <v>46200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14941-2023</t>
        </is>
      </c>
      <c r="B313" s="1" t="n">
        <v>45015</v>
      </c>
      <c r="C313" s="1" t="n">
        <v>46200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52048-2024</t>
        </is>
      </c>
      <c r="B314" s="1" t="n">
        <v>45608</v>
      </c>
      <c r="C314" s="1" t="n">
        <v>46200</v>
      </c>
      <c r="D314" t="inlineStr">
        <is>
          <t>KRONOBERGS LÄN</t>
        </is>
      </c>
      <c r="E314" t="inlineStr">
        <is>
          <t>ALVESTA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35529-2023</t>
        </is>
      </c>
      <c r="B315" s="1" t="n">
        <v>45146</v>
      </c>
      <c r="C315" s="1" t="n">
        <v>46200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5166-2024</t>
        </is>
      </c>
      <c r="B316" s="1" t="n">
        <v>45330</v>
      </c>
      <c r="C316" s="1" t="n">
        <v>46200</v>
      </c>
      <c r="D316" t="inlineStr">
        <is>
          <t>KRONOBERGS LÄN</t>
        </is>
      </c>
      <c r="E316" t="inlineStr">
        <is>
          <t>ALVESTA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7869-2023</t>
        </is>
      </c>
      <c r="B317" s="1" t="n">
        <v>44973</v>
      </c>
      <c r="C317" s="1" t="n">
        <v>46200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35732-2024</t>
        </is>
      </c>
      <c r="B318" s="1" t="n">
        <v>45532</v>
      </c>
      <c r="C318" s="1" t="n">
        <v>46200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23126-2023</t>
        </is>
      </c>
      <c r="B319" s="1" t="n">
        <v>45075</v>
      </c>
      <c r="C319" s="1" t="n">
        <v>46200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</v>
      </c>
      <c r="C320" s="1" t="n">
        <v>46200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13362-2023</t>
        </is>
      </c>
      <c r="B321" s="1" t="n">
        <v>45005</v>
      </c>
      <c r="C321" s="1" t="n">
        <v>46200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16301-2024</t>
        </is>
      </c>
      <c r="B322" s="1" t="n">
        <v>45407</v>
      </c>
      <c r="C322" s="1" t="n">
        <v>46200</v>
      </c>
      <c r="D322" t="inlineStr">
        <is>
          <t>KRONOBERGS LÄN</t>
        </is>
      </c>
      <c r="E322" t="inlineStr">
        <is>
          <t>ALVESTA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8842-2023</t>
        </is>
      </c>
      <c r="B323" s="1" t="n">
        <v>44978</v>
      </c>
      <c r="C323" s="1" t="n">
        <v>46200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26969-2025</t>
        </is>
      </c>
      <c r="B324" s="1" t="n">
        <v>45811</v>
      </c>
      <c r="C324" s="1" t="n">
        <v>46200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26971-2025</t>
        </is>
      </c>
      <c r="B325" s="1" t="n">
        <v>45811</v>
      </c>
      <c r="C325" s="1" t="n">
        <v>46200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17787-2024</t>
        </is>
      </c>
      <c r="B326" s="1" t="n">
        <v>45418</v>
      </c>
      <c r="C326" s="1" t="n">
        <v>46200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17791-2024</t>
        </is>
      </c>
      <c r="B327" s="1" t="n">
        <v>45418</v>
      </c>
      <c r="C327" s="1" t="n">
        <v>46200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50976-2023</t>
        </is>
      </c>
      <c r="B328" s="1" t="n">
        <v>45218</v>
      </c>
      <c r="C328" s="1" t="n">
        <v>46200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26225-2022</t>
        </is>
      </c>
      <c r="B329" s="1" t="n">
        <v>44735</v>
      </c>
      <c r="C329" s="1" t="n">
        <v>46200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26977-2025</t>
        </is>
      </c>
      <c r="B330" s="1" t="n">
        <v>45811</v>
      </c>
      <c r="C330" s="1" t="n">
        <v>46200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54922-2024</t>
        </is>
      </c>
      <c r="B331" s="1" t="n">
        <v>45618</v>
      </c>
      <c r="C331" s="1" t="n">
        <v>46200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10858-2023</t>
        </is>
      </c>
      <c r="B332" s="1" t="n">
        <v>44991</v>
      </c>
      <c r="C332" s="1" t="n">
        <v>46200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52082-2024</t>
        </is>
      </c>
      <c r="B333" s="1" t="n">
        <v>45608</v>
      </c>
      <c r="C333" s="1" t="n">
        <v>46200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51210-2022</t>
        </is>
      </c>
      <c r="B334" s="1" t="n">
        <v>44868</v>
      </c>
      <c r="C334" s="1" t="n">
        <v>46200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6479-2022</t>
        </is>
      </c>
      <c r="B335" s="1" t="n">
        <v>44601</v>
      </c>
      <c r="C335" s="1" t="n">
        <v>46200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6815-2024</t>
        </is>
      </c>
      <c r="B336" s="1" t="n">
        <v>45342</v>
      </c>
      <c r="C336" s="1" t="n">
        <v>46200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18845-2024</t>
        </is>
      </c>
      <c r="B337" s="1" t="n">
        <v>45426</v>
      </c>
      <c r="C337" s="1" t="n">
        <v>46200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57121-2022</t>
        </is>
      </c>
      <c r="B338" s="1" t="n">
        <v>44895</v>
      </c>
      <c r="C338" s="1" t="n">
        <v>46200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21987-2023</t>
        </is>
      </c>
      <c r="B339" s="1" t="n">
        <v>45068</v>
      </c>
      <c r="C339" s="1" t="n">
        <v>46200</v>
      </c>
      <c r="D339" t="inlineStr">
        <is>
          <t>KRONOBERGS LÄN</t>
        </is>
      </c>
      <c r="E339" t="inlineStr">
        <is>
          <t>ALVESTA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33352-2024</t>
        </is>
      </c>
      <c r="B340" s="1" t="n">
        <v>45519</v>
      </c>
      <c r="C340" s="1" t="n">
        <v>46200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413-2024</t>
        </is>
      </c>
      <c r="B341" s="1" t="n">
        <v>45296</v>
      </c>
      <c r="C341" s="1" t="n">
        <v>46200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12298-2023</t>
        </is>
      </c>
      <c r="B342" s="1" t="n">
        <v>44998</v>
      </c>
      <c r="C342" s="1" t="n">
        <v>46200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57938-2023</t>
        </is>
      </c>
      <c r="B343" s="1" t="n">
        <v>45247</v>
      </c>
      <c r="C343" s="1" t="n">
        <v>46200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20624-2024</t>
        </is>
      </c>
      <c r="B344" s="1" t="n">
        <v>45436</v>
      </c>
      <c r="C344" s="1" t="n">
        <v>46200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14043-2025</t>
        </is>
      </c>
      <c r="B345" s="1" t="n">
        <v>45740</v>
      </c>
      <c r="C345" s="1" t="n">
        <v>46200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12834-2024</t>
        </is>
      </c>
      <c r="B346" s="1" t="n">
        <v>45384</v>
      </c>
      <c r="C346" s="1" t="n">
        <v>46200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17782-2024</t>
        </is>
      </c>
      <c r="B347" s="1" t="n">
        <v>45418</v>
      </c>
      <c r="C347" s="1" t="n">
        <v>46200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18677-2025</t>
        </is>
      </c>
      <c r="B348" s="1" t="n">
        <v>45763</v>
      </c>
      <c r="C348" s="1" t="n">
        <v>46200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53458-2024</t>
        </is>
      </c>
      <c r="B349" s="1" t="n">
        <v>45614</v>
      </c>
      <c r="C349" s="1" t="n">
        <v>46200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53459-2024</t>
        </is>
      </c>
      <c r="B350" s="1" t="n">
        <v>45614</v>
      </c>
      <c r="C350" s="1" t="n">
        <v>46200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7887-2025</t>
        </is>
      </c>
      <c r="B351" s="1" t="n">
        <v>45706</v>
      </c>
      <c r="C351" s="1" t="n">
        <v>46200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2038-2023</t>
        </is>
      </c>
      <c r="B352" s="1" t="n">
        <v>44938</v>
      </c>
      <c r="C352" s="1" t="n">
        <v>46200</v>
      </c>
      <c r="D352" t="inlineStr">
        <is>
          <t>KRONOBERGS LÄN</t>
        </is>
      </c>
      <c r="E352" t="inlineStr">
        <is>
          <t>ALVESTA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29313-2025</t>
        </is>
      </c>
      <c r="B353" s="1" t="n">
        <v>45824</v>
      </c>
      <c r="C353" s="1" t="n">
        <v>46200</v>
      </c>
      <c r="D353" t="inlineStr">
        <is>
          <t>KRONOBERGS LÄN</t>
        </is>
      </c>
      <c r="E353" t="inlineStr">
        <is>
          <t>ALVESTA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6009-2024</t>
        </is>
      </c>
      <c r="B354" s="1" t="n">
        <v>45336</v>
      </c>
      <c r="C354" s="1" t="n">
        <v>46200</v>
      </c>
      <c r="D354" t="inlineStr">
        <is>
          <t>KRONOBERGS LÄN</t>
        </is>
      </c>
      <c r="E354" t="inlineStr">
        <is>
          <t>ALVESTA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29163-2025</t>
        </is>
      </c>
      <c r="B355" s="1" t="n">
        <v>45821</v>
      </c>
      <c r="C355" s="1" t="n">
        <v>46200</v>
      </c>
      <c r="D355" t="inlineStr">
        <is>
          <t>KRONOBERGS LÄN</t>
        </is>
      </c>
      <c r="E355" t="inlineStr">
        <is>
          <t>ALVESTA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29749-2025</t>
        </is>
      </c>
      <c r="B356" s="1" t="n">
        <v>45825</v>
      </c>
      <c r="C356" s="1" t="n">
        <v>46200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20616-2024</t>
        </is>
      </c>
      <c r="B357" s="1" t="n">
        <v>45436</v>
      </c>
      <c r="C357" s="1" t="n">
        <v>46200</v>
      </c>
      <c r="D357" t="inlineStr">
        <is>
          <t>KRONOBERGS LÄN</t>
        </is>
      </c>
      <c r="E357" t="inlineStr">
        <is>
          <t>ALVESTA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3580-2025</t>
        </is>
      </c>
      <c r="B358" s="1" t="n">
        <v>45680</v>
      </c>
      <c r="C358" s="1" t="n">
        <v>46200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72318-2021</t>
        </is>
      </c>
      <c r="B359" s="1" t="n">
        <v>44545</v>
      </c>
      <c r="C359" s="1" t="n">
        <v>46200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65092-2023</t>
        </is>
      </c>
      <c r="B360" s="1" t="n">
        <v>45288</v>
      </c>
      <c r="C360" s="1" t="n">
        <v>46200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30222-2025</t>
        </is>
      </c>
      <c r="B361" s="1" t="n">
        <v>45827</v>
      </c>
      <c r="C361" s="1" t="n">
        <v>46200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1495-2024</t>
        </is>
      </c>
      <c r="B362" s="1" t="n">
        <v>45305</v>
      </c>
      <c r="C362" s="1" t="n">
        <v>46200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47885-2023</t>
        </is>
      </c>
      <c r="B363" s="1" t="n">
        <v>45198</v>
      </c>
      <c r="C363" s="1" t="n">
        <v>46200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31094-2025</t>
        </is>
      </c>
      <c r="B364" s="1" t="n">
        <v>45831</v>
      </c>
      <c r="C364" s="1" t="n">
        <v>46200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19286-2025</t>
        </is>
      </c>
      <c r="B365" s="1" t="n">
        <v>45769</v>
      </c>
      <c r="C365" s="1" t="n">
        <v>46200</v>
      </c>
      <c r="D365" t="inlineStr">
        <is>
          <t>KRONOBERGS LÄN</t>
        </is>
      </c>
      <c r="E365" t="inlineStr">
        <is>
          <t>ALVESTA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31431-2025</t>
        </is>
      </c>
      <c r="B366" s="1" t="n">
        <v>45833</v>
      </c>
      <c r="C366" s="1" t="n">
        <v>46200</v>
      </c>
      <c r="D366" t="inlineStr">
        <is>
          <t>KRONOBERGS LÄN</t>
        </is>
      </c>
      <c r="E366" t="inlineStr">
        <is>
          <t>ALVESTA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31439-2025</t>
        </is>
      </c>
      <c r="B367" s="1" t="n">
        <v>45833</v>
      </c>
      <c r="C367" s="1" t="n">
        <v>46200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9391-2024</t>
        </is>
      </c>
      <c r="B368" s="1" t="n">
        <v>45359</v>
      </c>
      <c r="C368" s="1" t="n">
        <v>46200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31754-2025</t>
        </is>
      </c>
      <c r="B369" s="1" t="n">
        <v>45834</v>
      </c>
      <c r="C369" s="1" t="n">
        <v>46200</v>
      </c>
      <c r="D369" t="inlineStr">
        <is>
          <t>KRONOBERGS LÄN</t>
        </is>
      </c>
      <c r="E369" t="inlineStr">
        <is>
          <t>ALVESTA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31790-2025</t>
        </is>
      </c>
      <c r="B370" s="1" t="n">
        <v>45834</v>
      </c>
      <c r="C370" s="1" t="n">
        <v>46200</v>
      </c>
      <c r="D370" t="inlineStr">
        <is>
          <t>KRONOBERGS LÄN</t>
        </is>
      </c>
      <c r="E370" t="inlineStr">
        <is>
          <t>ALVESTA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32538-2025</t>
        </is>
      </c>
      <c r="B371" s="1" t="n">
        <v>45838</v>
      </c>
      <c r="C371" s="1" t="n">
        <v>46200</v>
      </c>
      <c r="D371" t="inlineStr">
        <is>
          <t>KRONOBERGS LÄN</t>
        </is>
      </c>
      <c r="E371" t="inlineStr">
        <is>
          <t>ALVESTA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36625-2023</t>
        </is>
      </c>
      <c r="B372" s="1" t="n">
        <v>45153</v>
      </c>
      <c r="C372" s="1" t="n">
        <v>46200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36627-2023</t>
        </is>
      </c>
      <c r="B373" s="1" t="n">
        <v>45153</v>
      </c>
      <c r="C373" s="1" t="n">
        <v>46200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42397-2023</t>
        </is>
      </c>
      <c r="B374" s="1" t="n">
        <v>45180</v>
      </c>
      <c r="C374" s="1" t="n">
        <v>46200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38385-2022</t>
        </is>
      </c>
      <c r="B375" s="1" t="n">
        <v>44812</v>
      </c>
      <c r="C375" s="1" t="n">
        <v>46200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14865-2024</t>
        </is>
      </c>
      <c r="B376" s="1" t="n">
        <v>45398</v>
      </c>
      <c r="C376" s="1" t="n">
        <v>46200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52040-2024</t>
        </is>
      </c>
      <c r="B377" s="1" t="n">
        <v>45608</v>
      </c>
      <c r="C377" s="1" t="n">
        <v>46200</v>
      </c>
      <c r="D377" t="inlineStr">
        <is>
          <t>KRONOBERGS LÄN</t>
        </is>
      </c>
      <c r="E377" t="inlineStr">
        <is>
          <t>ALVESTA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32529-2025</t>
        </is>
      </c>
      <c r="B378" s="1" t="n">
        <v>45838</v>
      </c>
      <c r="C378" s="1" t="n">
        <v>46200</v>
      </c>
      <c r="D378" t="inlineStr">
        <is>
          <t>KRONOBERGS LÄN</t>
        </is>
      </c>
      <c r="E378" t="inlineStr">
        <is>
          <t>ALVESTA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32539-2025</t>
        </is>
      </c>
      <c r="B379" s="1" t="n">
        <v>45838</v>
      </c>
      <c r="C379" s="1" t="n">
        <v>46200</v>
      </c>
      <c r="D379" t="inlineStr">
        <is>
          <t>KRONOBERGS LÄN</t>
        </is>
      </c>
      <c r="E379" t="inlineStr">
        <is>
          <t>ALVESTA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11515-2025</t>
        </is>
      </c>
      <c r="B380" s="1" t="n">
        <v>45726</v>
      </c>
      <c r="C380" s="1" t="n">
        <v>46200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17313-2024</t>
        </is>
      </c>
      <c r="B381" s="1" t="n">
        <v>45414</v>
      </c>
      <c r="C381" s="1" t="n">
        <v>46200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53226-2024</t>
        </is>
      </c>
      <c r="B382" s="1" t="n">
        <v>45613</v>
      </c>
      <c r="C382" s="1" t="n">
        <v>46200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28529-2024</t>
        </is>
      </c>
      <c r="B383" s="1" t="n">
        <v>45478</v>
      </c>
      <c r="C383" s="1" t="n">
        <v>46200</v>
      </c>
      <c r="D383" t="inlineStr">
        <is>
          <t>KRONOBERGS LÄN</t>
        </is>
      </c>
      <c r="E383" t="inlineStr">
        <is>
          <t>ALVESTA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33617-2025</t>
        </is>
      </c>
      <c r="B384" s="1" t="n">
        <v>45841</v>
      </c>
      <c r="C384" s="1" t="n">
        <v>46200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9649-2024</t>
        </is>
      </c>
      <c r="B385" s="1" t="n">
        <v>45362</v>
      </c>
      <c r="C385" s="1" t="n">
        <v>46200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6176-2025</t>
        </is>
      </c>
      <c r="B386" s="1" t="n">
        <v>45698</v>
      </c>
      <c r="C386" s="1" t="n">
        <v>46200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20631-2024</t>
        </is>
      </c>
      <c r="B387" s="1" t="n">
        <v>45436</v>
      </c>
      <c r="C387" s="1" t="n">
        <v>46200</v>
      </c>
      <c r="D387" t="inlineStr">
        <is>
          <t>KRONOBERGS LÄN</t>
        </is>
      </c>
      <c r="E387" t="inlineStr">
        <is>
          <t>ALVESTA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11912-2022</t>
        </is>
      </c>
      <c r="B388" s="1" t="n">
        <v>44635</v>
      </c>
      <c r="C388" s="1" t="n">
        <v>46200</v>
      </c>
      <c r="D388" t="inlineStr">
        <is>
          <t>KRONOBERGS LÄN</t>
        </is>
      </c>
      <c r="E388" t="inlineStr">
        <is>
          <t>ALVESTA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6838-2024</t>
        </is>
      </c>
      <c r="B389" s="1" t="n">
        <v>45342</v>
      </c>
      <c r="C389" s="1" t="n">
        <v>46200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34148-2023</t>
        </is>
      </c>
      <c r="B390" s="1" t="n">
        <v>45136</v>
      </c>
      <c r="C390" s="1" t="n">
        <v>46200</v>
      </c>
      <c r="D390" t="inlineStr">
        <is>
          <t>KRONOBERGS LÄN</t>
        </is>
      </c>
      <c r="E390" t="inlineStr">
        <is>
          <t>ALVESTA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34530-2025</t>
        </is>
      </c>
      <c r="B391" s="1" t="n">
        <v>45847</v>
      </c>
      <c r="C391" s="1" t="n">
        <v>46200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33113-2023</t>
        </is>
      </c>
      <c r="B392" s="1" t="n">
        <v>45114</v>
      </c>
      <c r="C392" s="1" t="n">
        <v>46200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10860-2025</t>
        </is>
      </c>
      <c r="B393" s="1" t="n">
        <v>45722</v>
      </c>
      <c r="C393" s="1" t="n">
        <v>46200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36182-2023</t>
        </is>
      </c>
      <c r="B394" s="1" t="n">
        <v>45149</v>
      </c>
      <c r="C394" s="1" t="n">
        <v>46200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35140-2025</t>
        </is>
      </c>
      <c r="B395" s="1" t="n">
        <v>45852</v>
      </c>
      <c r="C395" s="1" t="n">
        <v>46200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27247-2024</t>
        </is>
      </c>
      <c r="B396" s="1" t="n">
        <v>45471</v>
      </c>
      <c r="C396" s="1" t="n">
        <v>46200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27252-2024</t>
        </is>
      </c>
      <c r="B397" s="1" t="n">
        <v>45471</v>
      </c>
      <c r="C397" s="1" t="n">
        <v>46200</v>
      </c>
      <c r="D397" t="inlineStr">
        <is>
          <t>KRONOBERGS LÄN</t>
        </is>
      </c>
      <c r="E397" t="inlineStr">
        <is>
          <t>ALVESTA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3510-2024</t>
        </is>
      </c>
      <c r="B398" s="1" t="n">
        <v>45320</v>
      </c>
      <c r="C398" s="1" t="n">
        <v>46200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35321-2025</t>
        </is>
      </c>
      <c r="B399" s="1" t="n">
        <v>45854</v>
      </c>
      <c r="C399" s="1" t="n">
        <v>46200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61902-2024</t>
        </is>
      </c>
      <c r="B400" s="1" t="n">
        <v>45653</v>
      </c>
      <c r="C400" s="1" t="n">
        <v>46200</v>
      </c>
      <c r="D400" t="inlineStr">
        <is>
          <t>KRONOBERGS LÄN</t>
        </is>
      </c>
      <c r="E400" t="inlineStr">
        <is>
          <t>ALVESTA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14969-2022</t>
        </is>
      </c>
      <c r="B401" s="1" t="n">
        <v>44657</v>
      </c>
      <c r="C401" s="1" t="n">
        <v>46200</v>
      </c>
      <c r="D401" t="inlineStr">
        <is>
          <t>KRONOBERGS LÄN</t>
        </is>
      </c>
      <c r="E401" t="inlineStr">
        <is>
          <t>ALVESTA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60760-2022</t>
        </is>
      </c>
      <c r="B402" s="1" t="n">
        <v>44914</v>
      </c>
      <c r="C402" s="1" t="n">
        <v>46200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34272-2023</t>
        </is>
      </c>
      <c r="B403" s="1" t="n">
        <v>45128</v>
      </c>
      <c r="C403" s="1" t="n">
        <v>46200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53452-2024</t>
        </is>
      </c>
      <c r="B404" s="1" t="n">
        <v>45614</v>
      </c>
      <c r="C404" s="1" t="n">
        <v>46200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22563-2024</t>
        </is>
      </c>
      <c r="B405" s="1" t="n">
        <v>45447</v>
      </c>
      <c r="C405" s="1" t="n">
        <v>46200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4733-2024</t>
        </is>
      </c>
      <c r="B406" s="1" t="n">
        <v>45328</v>
      </c>
      <c r="C406" s="1" t="n">
        <v>46200</v>
      </c>
      <c r="D406" t="inlineStr">
        <is>
          <t>KRONOBERGS LÄN</t>
        </is>
      </c>
      <c r="E406" t="inlineStr">
        <is>
          <t>ALVESTA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12260-2023</t>
        </is>
      </c>
      <c r="B407" s="1" t="n">
        <v>44998</v>
      </c>
      <c r="C407" s="1" t="n">
        <v>46200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56832-2024</t>
        </is>
      </c>
      <c r="B408" s="1" t="n">
        <v>45628</v>
      </c>
      <c r="C408" s="1" t="n">
        <v>46200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5298-2025</t>
        </is>
      </c>
      <c r="B409" s="1" t="n">
        <v>45692</v>
      </c>
      <c r="C409" s="1" t="n">
        <v>46200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37278-2024</t>
        </is>
      </c>
      <c r="B410" s="1" t="n">
        <v>45540</v>
      </c>
      <c r="C410" s="1" t="n">
        <v>46200</v>
      </c>
      <c r="D410" t="inlineStr">
        <is>
          <t>KRONOBERGS LÄN</t>
        </is>
      </c>
      <c r="E410" t="inlineStr">
        <is>
          <t>ALVESTA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38909-2024</t>
        </is>
      </c>
      <c r="B411" s="1" t="n">
        <v>45547</v>
      </c>
      <c r="C411" s="1" t="n">
        <v>46200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48692-2024</t>
        </is>
      </c>
      <c r="B412" s="1" t="n">
        <v>45593</v>
      </c>
      <c r="C412" s="1" t="n">
        <v>46200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60202-2021</t>
        </is>
      </c>
      <c r="B413" s="1" t="n">
        <v>44495</v>
      </c>
      <c r="C413" s="1" t="n">
        <v>46200</v>
      </c>
      <c r="D413" t="inlineStr">
        <is>
          <t>KRONOBERGS LÄN</t>
        </is>
      </c>
      <c r="E413" t="inlineStr">
        <is>
          <t>ALVESTA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2426-2023</t>
        </is>
      </c>
      <c r="B414" s="1" t="n">
        <v>44943</v>
      </c>
      <c r="C414" s="1" t="n">
        <v>46200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36345-2025</t>
        </is>
      </c>
      <c r="B415" s="1" t="n">
        <v>45868</v>
      </c>
      <c r="C415" s="1" t="n">
        <v>46200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9687-2024</t>
        </is>
      </c>
      <c r="B416" s="1" t="n">
        <v>45362</v>
      </c>
      <c r="C416" s="1" t="n">
        <v>46200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25929-2024</t>
        </is>
      </c>
      <c r="B417" s="1" t="n">
        <v>45467</v>
      </c>
      <c r="C417" s="1" t="n">
        <v>46200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65094-2023</t>
        </is>
      </c>
      <c r="B418" s="1" t="n">
        <v>45288</v>
      </c>
      <c r="C418" s="1" t="n">
        <v>46200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46200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60770-2024</t>
        </is>
      </c>
      <c r="B420" s="1" t="n">
        <v>45644</v>
      </c>
      <c r="C420" s="1" t="n">
        <v>46200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12299-2023</t>
        </is>
      </c>
      <c r="B421" s="1" t="n">
        <v>44998</v>
      </c>
      <c r="C421" s="1" t="n">
        <v>46200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8671-2025</t>
        </is>
      </c>
      <c r="B422" s="1" t="n">
        <v>45712</v>
      </c>
      <c r="C422" s="1" t="n">
        <v>46200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50733-2023</t>
        </is>
      </c>
      <c r="B423" s="1" t="n">
        <v>45217</v>
      </c>
      <c r="C423" s="1" t="n">
        <v>46200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46200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39501-2024</t>
        </is>
      </c>
      <c r="B425" s="1" t="n">
        <v>45551</v>
      </c>
      <c r="C425" s="1" t="n">
        <v>46200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</v>
      </c>
      <c r="C426" s="1" t="n">
        <v>46200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12917-2024</t>
        </is>
      </c>
      <c r="B427" s="1" t="n">
        <v>45385</v>
      </c>
      <c r="C427" s="1" t="n">
        <v>46200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11937-2023</t>
        </is>
      </c>
      <c r="B428" s="1" t="n">
        <v>44995</v>
      </c>
      <c r="C428" s="1" t="n">
        <v>46200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31121-2023</t>
        </is>
      </c>
      <c r="B429" s="1" t="n">
        <v>45113</v>
      </c>
      <c r="C429" s="1" t="n">
        <v>46200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6722-2025</t>
        </is>
      </c>
      <c r="B430" s="1" t="n">
        <v>45700</v>
      </c>
      <c r="C430" s="1" t="n">
        <v>46200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25904-2025</t>
        </is>
      </c>
      <c r="B431" s="1" t="n">
        <v>45804</v>
      </c>
      <c r="C431" s="1" t="n">
        <v>46200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11618-2023</t>
        </is>
      </c>
      <c r="B432" s="1" t="n">
        <v>44994</v>
      </c>
      <c r="C432" s="1" t="n">
        <v>46200</v>
      </c>
      <c r="D432" t="inlineStr">
        <is>
          <t>KRONOBERGS LÄN</t>
        </is>
      </c>
      <c r="E432" t="inlineStr">
        <is>
          <t>ALVESTA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62147-2023</t>
        </is>
      </c>
      <c r="B433" s="1" t="n">
        <v>45267</v>
      </c>
      <c r="C433" s="1" t="n">
        <v>46200</v>
      </c>
      <c r="D433" t="inlineStr">
        <is>
          <t>KRONOBERGS LÄN</t>
        </is>
      </c>
      <c r="E433" t="inlineStr">
        <is>
          <t>ALVESTA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</v>
      </c>
      <c r="C434" s="1" t="n">
        <v>46200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23353-2023</t>
        </is>
      </c>
      <c r="B435" s="1" t="n">
        <v>45076</v>
      </c>
      <c r="C435" s="1" t="n">
        <v>46200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15175-2025</t>
        </is>
      </c>
      <c r="B436" s="1" t="n">
        <v>45744</v>
      </c>
      <c r="C436" s="1" t="n">
        <v>46200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16376-2024</t>
        </is>
      </c>
      <c r="B437" s="1" t="n">
        <v>45407</v>
      </c>
      <c r="C437" s="1" t="n">
        <v>46200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48143-2025</t>
        </is>
      </c>
      <c r="B438" s="1" t="n">
        <v>45933</v>
      </c>
      <c r="C438" s="1" t="n">
        <v>46200</v>
      </c>
      <c r="D438" t="inlineStr">
        <is>
          <t>KRONOBERGS LÄN</t>
        </is>
      </c>
      <c r="E438" t="inlineStr">
        <is>
          <t>ALVESTA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26573-2023</t>
        </is>
      </c>
      <c r="B439" s="1" t="n">
        <v>45092</v>
      </c>
      <c r="C439" s="1" t="n">
        <v>46200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43656-2023</t>
        </is>
      </c>
      <c r="B440" s="1" t="n">
        <v>45187</v>
      </c>
      <c r="C440" s="1" t="n">
        <v>46200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2042-2024</t>
        </is>
      </c>
      <c r="B441" s="1" t="n">
        <v>45308</v>
      </c>
      <c r="C441" s="1" t="n">
        <v>46200</v>
      </c>
      <c r="D441" t="inlineStr">
        <is>
          <t>KRONOBERGS LÄN</t>
        </is>
      </c>
      <c r="E441" t="inlineStr">
        <is>
          <t>ALVESTA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46200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38890-2023</t>
        </is>
      </c>
      <c r="B443" s="1" t="n">
        <v>45161</v>
      </c>
      <c r="C443" s="1" t="n">
        <v>46200</v>
      </c>
      <c r="D443" t="inlineStr">
        <is>
          <t>KRONOBERGS LÄN</t>
        </is>
      </c>
      <c r="E443" t="inlineStr">
        <is>
          <t>ALVESTA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39634-2025</t>
        </is>
      </c>
      <c r="B444" s="1" t="n">
        <v>45890</v>
      </c>
      <c r="C444" s="1" t="n">
        <v>46200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46200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35434-2025</t>
        </is>
      </c>
      <c r="B446" s="1" t="n">
        <v>45854</v>
      </c>
      <c r="C446" s="1" t="n">
        <v>46200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50853-2025</t>
        </is>
      </c>
      <c r="B447" s="1" t="n">
        <v>45946</v>
      </c>
      <c r="C447" s="1" t="n">
        <v>46200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34214-2024</t>
        </is>
      </c>
      <c r="B448" s="1" t="n">
        <v>45524</v>
      </c>
      <c r="C448" s="1" t="n">
        <v>46200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40612-2025</t>
        </is>
      </c>
      <c r="B449" s="1" t="n">
        <v>45896</v>
      </c>
      <c r="C449" s="1" t="n">
        <v>46200</v>
      </c>
      <c r="D449" t="inlineStr">
        <is>
          <t>KRONOBERGS LÄN</t>
        </is>
      </c>
      <c r="E449" t="inlineStr">
        <is>
          <t>ALVESTA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53917-2022</t>
        </is>
      </c>
      <c r="B450" s="1" t="n">
        <v>44880</v>
      </c>
      <c r="C450" s="1" t="n">
        <v>46200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59492-2022</t>
        </is>
      </c>
      <c r="B451" s="1" t="n">
        <v>44907</v>
      </c>
      <c r="C451" s="1" t="n">
        <v>46200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41552-2025</t>
        </is>
      </c>
      <c r="B452" s="1" t="n">
        <v>45901</v>
      </c>
      <c r="C452" s="1" t="n">
        <v>46200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42411-2023</t>
        </is>
      </c>
      <c r="B453" s="1" t="n">
        <v>45180</v>
      </c>
      <c r="C453" s="1" t="n">
        <v>46200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42074-2025</t>
        </is>
      </c>
      <c r="B454" s="1" t="n">
        <v>45903</v>
      </c>
      <c r="C454" s="1" t="n">
        <v>46200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40392-2025</t>
        </is>
      </c>
      <c r="B455" s="1" t="n">
        <v>45895</v>
      </c>
      <c r="C455" s="1" t="n">
        <v>46200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42194-2025</t>
        </is>
      </c>
      <c r="B456" s="1" t="n">
        <v>45904</v>
      </c>
      <c r="C456" s="1" t="n">
        <v>46200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49078-2023</t>
        </is>
      </c>
      <c r="B457" s="1" t="n">
        <v>45210</v>
      </c>
      <c r="C457" s="1" t="n">
        <v>46200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12981-2024</t>
        </is>
      </c>
      <c r="B458" s="1" t="n">
        <v>45385</v>
      </c>
      <c r="C458" s="1" t="n">
        <v>46200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52557-2025</t>
        </is>
      </c>
      <c r="B459" s="1" t="n">
        <v>45954</v>
      </c>
      <c r="C459" s="1" t="n">
        <v>46200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21296-2024</t>
        </is>
      </c>
      <c r="B460" s="1" t="n">
        <v>45440</v>
      </c>
      <c r="C460" s="1" t="n">
        <v>46200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46200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42195-2025</t>
        </is>
      </c>
      <c r="B462" s="1" t="n">
        <v>45904</v>
      </c>
      <c r="C462" s="1" t="n">
        <v>46200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40388-2025</t>
        </is>
      </c>
      <c r="B463" s="1" t="n">
        <v>45895</v>
      </c>
      <c r="C463" s="1" t="n">
        <v>46200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1686-2025</t>
        </is>
      </c>
      <c r="B464" s="1" t="n">
        <v>45670</v>
      </c>
      <c r="C464" s="1" t="n">
        <v>46200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24090-2024</t>
        </is>
      </c>
      <c r="B465" s="1" t="n">
        <v>45456</v>
      </c>
      <c r="C465" s="1" t="n">
        <v>46200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9933-2024</t>
        </is>
      </c>
      <c r="B466" s="1" t="n">
        <v>45363</v>
      </c>
      <c r="C466" s="1" t="n">
        <v>46200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53425-2025</t>
        </is>
      </c>
      <c r="B467" s="1" t="n">
        <v>45959</v>
      </c>
      <c r="C467" s="1" t="n">
        <v>46200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62645-2022</t>
        </is>
      </c>
      <c r="B468" s="1" t="n">
        <v>44925</v>
      </c>
      <c r="C468" s="1" t="n">
        <v>46200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7464-2025</t>
        </is>
      </c>
      <c r="B469" s="1" t="n">
        <v>45705</v>
      </c>
      <c r="C469" s="1" t="n">
        <v>46200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44189-2025</t>
        </is>
      </c>
      <c r="B470" s="1" t="n">
        <v>45915</v>
      </c>
      <c r="C470" s="1" t="n">
        <v>46200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46200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1093-2024</t>
        </is>
      </c>
      <c r="B472" s="1" t="n">
        <v>45302</v>
      </c>
      <c r="C472" s="1" t="n">
        <v>46200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36910-2025</t>
        </is>
      </c>
      <c r="B473" s="1" t="n">
        <v>45874</v>
      </c>
      <c r="C473" s="1" t="n">
        <v>46200</v>
      </c>
      <c r="D473" t="inlineStr">
        <is>
          <t>KRONOBERGS LÄN</t>
        </is>
      </c>
      <c r="E473" t="inlineStr">
        <is>
          <t>ALVESTA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37839-2024</t>
        </is>
      </c>
      <c r="B474" s="1" t="n">
        <v>45544</v>
      </c>
      <c r="C474" s="1" t="n">
        <v>46200</v>
      </c>
      <c r="D474" t="inlineStr">
        <is>
          <t>KRONOBERGS LÄN</t>
        </is>
      </c>
      <c r="E474" t="inlineStr">
        <is>
          <t>ALVESTA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44483-2025</t>
        </is>
      </c>
      <c r="B475" s="1" t="n">
        <v>45916</v>
      </c>
      <c r="C475" s="1" t="n">
        <v>46200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44655-2025</t>
        </is>
      </c>
      <c r="B476" s="1" t="n">
        <v>45917</v>
      </c>
      <c r="C476" s="1" t="n">
        <v>46200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16781-2023</t>
        </is>
      </c>
      <c r="B477" s="1" t="n">
        <v>45032</v>
      </c>
      <c r="C477" s="1" t="n">
        <v>46200</v>
      </c>
      <c r="D477" t="inlineStr">
        <is>
          <t>KRONOBERGS LÄN</t>
        </is>
      </c>
      <c r="E477" t="inlineStr">
        <is>
          <t>ALVESTA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44528-2025</t>
        </is>
      </c>
      <c r="B478" s="1" t="n">
        <v>45916</v>
      </c>
      <c r="C478" s="1" t="n">
        <v>46200</v>
      </c>
      <c r="D478" t="inlineStr">
        <is>
          <t>KRONOBERGS LÄN</t>
        </is>
      </c>
      <c r="E478" t="inlineStr">
        <is>
          <t>ALVESTA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44667-2025</t>
        </is>
      </c>
      <c r="B479" s="1" t="n">
        <v>45917</v>
      </c>
      <c r="C479" s="1" t="n">
        <v>46200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54522-2025</t>
        </is>
      </c>
      <c r="B480" s="1" t="n">
        <v>45965</v>
      </c>
      <c r="C480" s="1" t="n">
        <v>46200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54383-2025</t>
        </is>
      </c>
      <c r="B481" s="1" t="n">
        <v>45965</v>
      </c>
      <c r="C481" s="1" t="n">
        <v>46200</v>
      </c>
      <c r="D481" t="inlineStr">
        <is>
          <t>KRONOBERGS LÄN</t>
        </is>
      </c>
      <c r="E481" t="inlineStr">
        <is>
          <t>ALVESTA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54390-2025</t>
        </is>
      </c>
      <c r="B482" s="1" t="n">
        <v>45965</v>
      </c>
      <c r="C482" s="1" t="n">
        <v>46200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54404-2025</t>
        </is>
      </c>
      <c r="B483" s="1" t="n">
        <v>45965</v>
      </c>
      <c r="C483" s="1" t="n">
        <v>46200</v>
      </c>
      <c r="D483" t="inlineStr">
        <is>
          <t>KRONOBERGS LÄN</t>
        </is>
      </c>
      <c r="E483" t="inlineStr">
        <is>
          <t>ALVESTA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46200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50703-2023</t>
        </is>
      </c>
      <c r="B485" s="1" t="n">
        <v>45217</v>
      </c>
      <c r="C485" s="1" t="n">
        <v>46200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31169-2025</t>
        </is>
      </c>
      <c r="B486" s="1" t="n">
        <v>45831</v>
      </c>
      <c r="C486" s="1" t="n">
        <v>46200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31181-2025</t>
        </is>
      </c>
      <c r="B487" s="1" t="n">
        <v>45831</v>
      </c>
      <c r="C487" s="1" t="n">
        <v>46200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37940-2024</t>
        </is>
      </c>
      <c r="B488" s="1" t="n">
        <v>45544</v>
      </c>
      <c r="C488" s="1" t="n">
        <v>46200</v>
      </c>
      <c r="D488" t="inlineStr">
        <is>
          <t>KRONOBERGS LÄN</t>
        </is>
      </c>
      <c r="E488" t="inlineStr">
        <is>
          <t>ALVESTA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34267-2023</t>
        </is>
      </c>
      <c r="B489" s="1" t="n">
        <v>45128</v>
      </c>
      <c r="C489" s="1" t="n">
        <v>46200</v>
      </c>
      <c r="D489" t="inlineStr">
        <is>
          <t>KRONOBERGS LÄN</t>
        </is>
      </c>
      <c r="E489" t="inlineStr">
        <is>
          <t>ALVESTA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35687-2025</t>
        </is>
      </c>
      <c r="B490" s="1" t="n">
        <v>45860</v>
      </c>
      <c r="C490" s="1" t="n">
        <v>46200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46360-2025</t>
        </is>
      </c>
      <c r="B491" s="1" t="n">
        <v>45925</v>
      </c>
      <c r="C491" s="1" t="n">
        <v>46200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46513-2025</t>
        </is>
      </c>
      <c r="B492" s="1" t="n">
        <v>45926</v>
      </c>
      <c r="C492" s="1" t="n">
        <v>46200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46555-2025</t>
        </is>
      </c>
      <c r="B493" s="1" t="n">
        <v>45926</v>
      </c>
      <c r="C493" s="1" t="n">
        <v>46200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47110-2025</t>
        </is>
      </c>
      <c r="B494" s="1" t="n">
        <v>45929</v>
      </c>
      <c r="C494" s="1" t="n">
        <v>46200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47051-2025</t>
        </is>
      </c>
      <c r="B495" s="1" t="n">
        <v>45929</v>
      </c>
      <c r="C495" s="1" t="n">
        <v>46200</v>
      </c>
      <c r="D495" t="inlineStr">
        <is>
          <t>KRONOBERGS LÄN</t>
        </is>
      </c>
      <c r="E495" t="inlineStr">
        <is>
          <t>ALVESTA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56779-2025</t>
        </is>
      </c>
      <c r="B496" s="1" t="n">
        <v>45978</v>
      </c>
      <c r="C496" s="1" t="n">
        <v>46200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56780-2025</t>
        </is>
      </c>
      <c r="B497" s="1" t="n">
        <v>45978</v>
      </c>
      <c r="C497" s="1" t="n">
        <v>46200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56775-2025</t>
        </is>
      </c>
      <c r="B498" s="1" t="n">
        <v>45978</v>
      </c>
      <c r="C498" s="1" t="n">
        <v>46200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56793-2025</t>
        </is>
      </c>
      <c r="B499" s="1" t="n">
        <v>45978</v>
      </c>
      <c r="C499" s="1" t="n">
        <v>46200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57307-2025</t>
        </is>
      </c>
      <c r="B500" s="1" t="n">
        <v>45979</v>
      </c>
      <c r="C500" s="1" t="n">
        <v>46200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13896-2024</t>
        </is>
      </c>
      <c r="B501" s="1" t="n">
        <v>45391</v>
      </c>
      <c r="C501" s="1" t="n">
        <v>46200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17737-2024</t>
        </is>
      </c>
      <c r="B502" s="1" t="n">
        <v>45418</v>
      </c>
      <c r="C502" s="1" t="n">
        <v>46200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33222-2024</t>
        </is>
      </c>
      <c r="B503" s="1" t="n">
        <v>45518</v>
      </c>
      <c r="C503" s="1" t="n">
        <v>46200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25220-2025</t>
        </is>
      </c>
      <c r="B504" s="1" t="n">
        <v>45798</v>
      </c>
      <c r="C504" s="1" t="n">
        <v>46200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6489-2022</t>
        </is>
      </c>
      <c r="B505" s="1" t="n">
        <v>44601</v>
      </c>
      <c r="C505" s="1" t="n">
        <v>46200</v>
      </c>
      <c r="D505" t="inlineStr">
        <is>
          <t>KRONOBERGS LÄN</t>
        </is>
      </c>
      <c r="E505" t="inlineStr">
        <is>
          <t>ALVESTA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9674-2024</t>
        </is>
      </c>
      <c r="B506" s="1" t="n">
        <v>45362</v>
      </c>
      <c r="C506" s="1" t="n">
        <v>46200</v>
      </c>
      <c r="D506" t="inlineStr">
        <is>
          <t>KRONOBERGS LÄN</t>
        </is>
      </c>
      <c r="E506" t="inlineStr">
        <is>
          <t>ALVESTA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25393-2025</t>
        </is>
      </c>
      <c r="B507" s="1" t="n">
        <v>45800</v>
      </c>
      <c r="C507" s="1" t="n">
        <v>46200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58606-2025</t>
        </is>
      </c>
      <c r="B508" s="1" t="n">
        <v>45986</v>
      </c>
      <c r="C508" s="1" t="n">
        <v>46200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58604-2025</t>
        </is>
      </c>
      <c r="B509" s="1" t="n">
        <v>45986</v>
      </c>
      <c r="C509" s="1" t="n">
        <v>46200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59340-2025</t>
        </is>
      </c>
      <c r="B510" s="1" t="n">
        <v>45989</v>
      </c>
      <c r="C510" s="1" t="n">
        <v>46200</v>
      </c>
      <c r="D510" t="inlineStr">
        <is>
          <t>KRONOBERGS LÄN</t>
        </is>
      </c>
      <c r="E510" t="inlineStr">
        <is>
          <t>ALVESTA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59797-2025</t>
        </is>
      </c>
      <c r="B511" s="1" t="n">
        <v>45992</v>
      </c>
      <c r="C511" s="1" t="n">
        <v>46200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59807-2025</t>
        </is>
      </c>
      <c r="B512" s="1" t="n">
        <v>45992</v>
      </c>
      <c r="C512" s="1" t="n">
        <v>46200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59782-2025</t>
        </is>
      </c>
      <c r="B513" s="1" t="n">
        <v>45992</v>
      </c>
      <c r="C513" s="1" t="n">
        <v>46200</v>
      </c>
      <c r="D513" t="inlineStr">
        <is>
          <t>KRONOBERGS LÄN</t>
        </is>
      </c>
      <c r="E513" t="inlineStr">
        <is>
          <t>ALVESTA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21438-2025</t>
        </is>
      </c>
      <c r="B514" s="1" t="n">
        <v>45782</v>
      </c>
      <c r="C514" s="1" t="n">
        <v>46200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28015-2024</t>
        </is>
      </c>
      <c r="B515" s="1" t="n">
        <v>45476</v>
      </c>
      <c r="C515" s="1" t="n">
        <v>46200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5522-2023</t>
        </is>
      </c>
      <c r="B516" s="1" t="n">
        <v>44957</v>
      </c>
      <c r="C516" s="1" t="n">
        <v>46200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38765-2022</t>
        </is>
      </c>
      <c r="B517" s="1" t="n">
        <v>44816</v>
      </c>
      <c r="C517" s="1" t="n">
        <v>46200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59052-2021</t>
        </is>
      </c>
      <c r="B518" s="1" t="n">
        <v>44490</v>
      </c>
      <c r="C518" s="1" t="n">
        <v>46200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60741-2025</t>
        </is>
      </c>
      <c r="B519" s="1" t="n">
        <v>45996</v>
      </c>
      <c r="C519" s="1" t="n">
        <v>46200</v>
      </c>
      <c r="D519" t="inlineStr">
        <is>
          <t>KRONOBERGS LÄN</t>
        </is>
      </c>
      <c r="E519" t="inlineStr">
        <is>
          <t>ALVESTA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46200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61274-2025</t>
        </is>
      </c>
      <c r="B521" s="1" t="n">
        <v>46000</v>
      </c>
      <c r="C521" s="1" t="n">
        <v>46200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62744-2025</t>
        </is>
      </c>
      <c r="B522" s="1" t="n">
        <v>46008</v>
      </c>
      <c r="C522" s="1" t="n">
        <v>46200</v>
      </c>
      <c r="D522" t="inlineStr">
        <is>
          <t>KRONOBERGS LÄN</t>
        </is>
      </c>
      <c r="E522" t="inlineStr">
        <is>
          <t>ALVESTA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63413-2025</t>
        </is>
      </c>
      <c r="B523" s="1" t="n">
        <v>46013</v>
      </c>
      <c r="C523" s="1" t="n">
        <v>46200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51274-2025</t>
        </is>
      </c>
      <c r="B524" s="1" t="n">
        <v>45949</v>
      </c>
      <c r="C524" s="1" t="n">
        <v>46200</v>
      </c>
      <c r="D524" t="inlineStr">
        <is>
          <t>KRONOBERGS LÄN</t>
        </is>
      </c>
      <c r="E524" t="inlineStr">
        <is>
          <t>ALVESTA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6674-2024</t>
        </is>
      </c>
      <c r="B525" s="1" t="n">
        <v>45341</v>
      </c>
      <c r="C525" s="1" t="n">
        <v>46200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2447-2026</t>
        </is>
      </c>
      <c r="B526" s="1" t="n">
        <v>46037</v>
      </c>
      <c r="C526" s="1" t="n">
        <v>46200</v>
      </c>
      <c r="D526" t="inlineStr">
        <is>
          <t>KRONOBERGS LÄN</t>
        </is>
      </c>
      <c r="E526" t="inlineStr">
        <is>
          <t>ALVESTA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5520-2026</t>
        </is>
      </c>
      <c r="B527" s="1" t="n">
        <v>46050</v>
      </c>
      <c r="C527" s="1" t="n">
        <v>46200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6484-2026</t>
        </is>
      </c>
      <c r="B528" s="1" t="n">
        <v>46051</v>
      </c>
      <c r="C528" s="1" t="n">
        <v>46200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5833-2026</t>
        </is>
      </c>
      <c r="B529" s="1" t="n">
        <v>46052</v>
      </c>
      <c r="C529" s="1" t="n">
        <v>46200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7156-2026</t>
        </is>
      </c>
      <c r="B530" s="1" t="n">
        <v>46058</v>
      </c>
      <c r="C530" s="1" t="n">
        <v>46200</v>
      </c>
      <c r="D530" t="inlineStr">
        <is>
          <t>KRONOBERGS LÄN</t>
        </is>
      </c>
      <c r="E530" t="inlineStr">
        <is>
          <t>ALVESTA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7993-2026</t>
        </is>
      </c>
      <c r="B531" s="1" t="n">
        <v>46063</v>
      </c>
      <c r="C531" s="1" t="n">
        <v>46200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8320-2026</t>
        </is>
      </c>
      <c r="B532" s="1" t="n">
        <v>46064</v>
      </c>
      <c r="C532" s="1" t="n">
        <v>46200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11129-2026</t>
        </is>
      </c>
      <c r="B533" s="1" t="n">
        <v>46079</v>
      </c>
      <c r="C533" s="1" t="n">
        <v>46200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11601-2026</t>
        </is>
      </c>
      <c r="B534" s="1" t="n">
        <v>46084</v>
      </c>
      <c r="C534" s="1" t="n">
        <v>46200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11331-2026</t>
        </is>
      </c>
      <c r="B535" s="1" t="n">
        <v>46081</v>
      </c>
      <c r="C535" s="1" t="n">
        <v>46200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11548-2026</t>
        </is>
      </c>
      <c r="B536" s="1" t="n">
        <v>46084</v>
      </c>
      <c r="C536" s="1" t="n">
        <v>46200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11589-2026</t>
        </is>
      </c>
      <c r="B537" s="1" t="n">
        <v>46084</v>
      </c>
      <c r="C537" s="1" t="n">
        <v>46200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11600-2026</t>
        </is>
      </c>
      <c r="B538" s="1" t="n">
        <v>46084</v>
      </c>
      <c r="C538" s="1" t="n">
        <v>46200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12258-2026</t>
        </is>
      </c>
      <c r="B539" s="1" t="n">
        <v>46087</v>
      </c>
      <c r="C539" s="1" t="n">
        <v>46200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12804-2026</t>
        </is>
      </c>
      <c r="B540" s="1" t="n">
        <v>46092</v>
      </c>
      <c r="C540" s="1" t="n">
        <v>46200</v>
      </c>
      <c r="D540" t="inlineStr">
        <is>
          <t>KRONOBERGS LÄN</t>
        </is>
      </c>
      <c r="E540" t="inlineStr">
        <is>
          <t>ALVESTA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13136-2026</t>
        </is>
      </c>
      <c r="B541" s="1" t="n">
        <v>46093</v>
      </c>
      <c r="C541" s="1" t="n">
        <v>46200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13299-2026</t>
        </is>
      </c>
      <c r="B542" s="1" t="n">
        <v>46094</v>
      </c>
      <c r="C542" s="1" t="n">
        <v>46200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13811-2026</t>
        </is>
      </c>
      <c r="B543" s="1" t="n">
        <v>46098</v>
      </c>
      <c r="C543" s="1" t="n">
        <v>46200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13810-2026</t>
        </is>
      </c>
      <c r="B544" s="1" t="n">
        <v>46098</v>
      </c>
      <c r="C544" s="1" t="n">
        <v>46200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15533-2026</t>
        </is>
      </c>
      <c r="B545" s="1" t="n">
        <v>46106</v>
      </c>
      <c r="C545" s="1" t="n">
        <v>46200</v>
      </c>
      <c r="D545" t="inlineStr">
        <is>
          <t>KRONOBERGS LÄN</t>
        </is>
      </c>
      <c r="E545" t="inlineStr">
        <is>
          <t>ALVESTA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15532-2026</t>
        </is>
      </c>
      <c r="B546" s="1" t="n">
        <v>46106</v>
      </c>
      <c r="C546" s="1" t="n">
        <v>46200</v>
      </c>
      <c r="D546" t="inlineStr">
        <is>
          <t>KRONOBERGS LÄN</t>
        </is>
      </c>
      <c r="E546" t="inlineStr">
        <is>
          <t>ALVESTA</t>
        </is>
      </c>
      <c r="F546" t="inlineStr">
        <is>
          <t>Övriga Aktiebolag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17501-2026</t>
        </is>
      </c>
      <c r="B547" s="1" t="n">
        <v>46120</v>
      </c>
      <c r="C547" s="1" t="n">
        <v>46200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17946-2026</t>
        </is>
      </c>
      <c r="B548" s="1" t="n">
        <v>46122</v>
      </c>
      <c r="C548" s="1" t="n">
        <v>46200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17823-2026</t>
        </is>
      </c>
      <c r="B549" s="1" t="n">
        <v>46122</v>
      </c>
      <c r="C549" s="1" t="n">
        <v>46200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17781-2026</t>
        </is>
      </c>
      <c r="B550" s="1" t="n">
        <v>46122</v>
      </c>
      <c r="C550" s="1" t="n">
        <v>46200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17801-2026</t>
        </is>
      </c>
      <c r="B551" s="1" t="n">
        <v>46122</v>
      </c>
      <c r="C551" s="1" t="n">
        <v>46200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23494-2026</t>
        </is>
      </c>
      <c r="B552" s="1" t="n">
        <v>46163</v>
      </c>
      <c r="C552" s="1" t="n">
        <v>46200</v>
      </c>
      <c r="D552" t="inlineStr">
        <is>
          <t>KRONOBERGS LÄN</t>
        </is>
      </c>
      <c r="E552" t="inlineStr">
        <is>
          <t>ALVESTA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23622-2026</t>
        </is>
      </c>
      <c r="B553" s="1" t="n">
        <v>46163</v>
      </c>
      <c r="C553" s="1" t="n">
        <v>46200</v>
      </c>
      <c r="D553" t="inlineStr">
        <is>
          <t>KRONOBERGS LÄN</t>
        </is>
      </c>
      <c r="E553" t="inlineStr">
        <is>
          <t>ALVESTA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17858-2026</t>
        </is>
      </c>
      <c r="B554" s="1" t="n">
        <v>46122</v>
      </c>
      <c r="C554" s="1" t="n">
        <v>46200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9417-2024</t>
        </is>
      </c>
      <c r="B555" s="1" t="n">
        <v>45359</v>
      </c>
      <c r="C555" s="1" t="n">
        <v>46200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23905-2026</t>
        </is>
      </c>
      <c r="B556" s="1" t="n">
        <v>46167</v>
      </c>
      <c r="C556" s="1" t="n">
        <v>46200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24443-2026</t>
        </is>
      </c>
      <c r="B557" s="1" t="n">
        <v>46170</v>
      </c>
      <c r="C557" s="1" t="n">
        <v>46200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18863-2026</t>
        </is>
      </c>
      <c r="B558" s="1" t="n">
        <v>46129</v>
      </c>
      <c r="C558" s="1" t="n">
        <v>46200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24692-2026</t>
        </is>
      </c>
      <c r="B559" s="1" t="n">
        <v>46171</v>
      </c>
      <c r="C559" s="1" t="n">
        <v>46200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18856-2026</t>
        </is>
      </c>
      <c r="B560" s="1" t="n">
        <v>46129</v>
      </c>
      <c r="C560" s="1" t="n">
        <v>46200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18858-2026</t>
        </is>
      </c>
      <c r="B561" s="1" t="n">
        <v>46129</v>
      </c>
      <c r="C561" s="1" t="n">
        <v>46200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24444-2026</t>
        </is>
      </c>
      <c r="B562" s="1" t="n">
        <v>46170</v>
      </c>
      <c r="C562" s="1" t="n">
        <v>46200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24419-2026</t>
        </is>
      </c>
      <c r="B563" s="1" t="n">
        <v>46169</v>
      </c>
      <c r="C563" s="1" t="n">
        <v>46200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24420-2026</t>
        </is>
      </c>
      <c r="B564" s="1" t="n">
        <v>46169</v>
      </c>
      <c r="C564" s="1" t="n">
        <v>46200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24446-2026</t>
        </is>
      </c>
      <c r="B565" s="1" t="n">
        <v>46170</v>
      </c>
      <c r="C565" s="1" t="n">
        <v>46200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25108-2026</t>
        </is>
      </c>
      <c r="B566" s="1" t="n">
        <v>46175</v>
      </c>
      <c r="C566" s="1" t="n">
        <v>46200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19035-2026</t>
        </is>
      </c>
      <c r="B567" s="1" t="n">
        <v>46132</v>
      </c>
      <c r="C567" s="1" t="n">
        <v>46200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19199-2026</t>
        </is>
      </c>
      <c r="B568" s="1" t="n">
        <v>46132</v>
      </c>
      <c r="C568" s="1" t="n">
        <v>46200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25609-2026</t>
        </is>
      </c>
      <c r="B569" s="1" t="n">
        <v>46175</v>
      </c>
      <c r="C569" s="1" t="n">
        <v>46200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25567-2026</t>
        </is>
      </c>
      <c r="B570" s="1" t="n">
        <v>46177</v>
      </c>
      <c r="C570" s="1" t="n">
        <v>46200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25572-2026</t>
        </is>
      </c>
      <c r="B571" s="1" t="n">
        <v>46177</v>
      </c>
      <c r="C571" s="1" t="n">
        <v>46200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833-2024</t>
        </is>
      </c>
      <c r="B572" s="1" t="n">
        <v>45300</v>
      </c>
      <c r="C572" s="1" t="n">
        <v>46200</v>
      </c>
      <c r="D572" t="inlineStr">
        <is>
          <t>KRONOBERGS LÄN</t>
        </is>
      </c>
      <c r="E572" t="inlineStr">
        <is>
          <t>ALVESTA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32626-2025</t>
        </is>
      </c>
      <c r="B573" s="1" t="n">
        <v>45838</v>
      </c>
      <c r="C573" s="1" t="n">
        <v>46200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59225-2025</t>
        </is>
      </c>
      <c r="B574" s="1" t="n">
        <v>45988</v>
      </c>
      <c r="C574" s="1" t="n">
        <v>46200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16355-2024</t>
        </is>
      </c>
      <c r="B575" s="1" t="n">
        <v>45407</v>
      </c>
      <c r="C575" s="1" t="n">
        <v>46200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46022-2023</t>
        </is>
      </c>
      <c r="B576" s="1" t="n">
        <v>45189</v>
      </c>
      <c r="C576" s="1" t="n">
        <v>46200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46200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27095-2024</t>
        </is>
      </c>
      <c r="B578" s="1" t="n">
        <v>45471</v>
      </c>
      <c r="C578" s="1" t="n">
        <v>46200</v>
      </c>
      <c r="D578" t="inlineStr">
        <is>
          <t>KRONOBERGS LÄN</t>
        </is>
      </c>
      <c r="E578" t="inlineStr">
        <is>
          <t>ALVESTA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3843-2023</t>
        </is>
      </c>
      <c r="B579" s="1" t="n">
        <v>44951</v>
      </c>
      <c r="C579" s="1" t="n">
        <v>46200</v>
      </c>
      <c r="D579" t="inlineStr">
        <is>
          <t>KRONOBERGS LÄN</t>
        </is>
      </c>
      <c r="E579" t="inlineStr">
        <is>
          <t>ALVESTA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36911-2025</t>
        </is>
      </c>
      <c r="B580" s="1" t="n">
        <v>45874</v>
      </c>
      <c r="C580" s="1" t="n">
        <v>46200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12952-2024</t>
        </is>
      </c>
      <c r="B581" s="1" t="n">
        <v>45385</v>
      </c>
      <c r="C581" s="1" t="n">
        <v>46200</v>
      </c>
      <c r="D581" t="inlineStr">
        <is>
          <t>KRONOBERGS LÄN</t>
        </is>
      </c>
      <c r="E581" t="inlineStr">
        <is>
          <t>ALVESTA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50852-2025</t>
        </is>
      </c>
      <c r="B582" s="1" t="n">
        <v>45946</v>
      </c>
      <c r="C582" s="1" t="n">
        <v>46200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7150-2026</t>
        </is>
      </c>
      <c r="B583" s="1" t="n">
        <v>46058</v>
      </c>
      <c r="C583" s="1" t="n">
        <v>46200</v>
      </c>
      <c r="D583" t="inlineStr">
        <is>
          <t>KRONOBERGS LÄN</t>
        </is>
      </c>
      <c r="E583" t="inlineStr">
        <is>
          <t>ALVESTA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30223-2025</t>
        </is>
      </c>
      <c r="B584" s="1" t="n">
        <v>45827</v>
      </c>
      <c r="C584" s="1" t="n">
        <v>46200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20220-2026</t>
        </is>
      </c>
      <c r="B585" s="1" t="n">
        <v>46139</v>
      </c>
      <c r="C585" s="1" t="n">
        <v>46200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28225-2025</t>
        </is>
      </c>
      <c r="B586" s="1" t="n">
        <v>45818</v>
      </c>
      <c r="C586" s="1" t="n">
        <v>46200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20241-2026</t>
        </is>
      </c>
      <c r="B587" s="1" t="n">
        <v>46139</v>
      </c>
      <c r="C587" s="1" t="n">
        <v>46200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38639-2025</t>
        </is>
      </c>
      <c r="B588" s="1" t="n">
        <v>45884</v>
      </c>
      <c r="C588" s="1" t="n">
        <v>46200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42976-2025</t>
        </is>
      </c>
      <c r="B589" s="1" t="n">
        <v>45909</v>
      </c>
      <c r="C589" s="1" t="n">
        <v>46200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994-2025</t>
        </is>
      </c>
      <c r="B590" s="1" t="n">
        <v>45666</v>
      </c>
      <c r="C590" s="1" t="n">
        <v>46200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35523-2025</t>
        </is>
      </c>
      <c r="B591" s="1" t="n">
        <v>45856</v>
      </c>
      <c r="C591" s="1" t="n">
        <v>46200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35601-2025</t>
        </is>
      </c>
      <c r="B592" s="1" t="n">
        <v>45858</v>
      </c>
      <c r="C592" s="1" t="n">
        <v>46200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20101-2026</t>
        </is>
      </c>
      <c r="B593" s="1" t="n">
        <v>46136</v>
      </c>
      <c r="C593" s="1" t="n">
        <v>46200</v>
      </c>
      <c r="D593" t="inlineStr">
        <is>
          <t>KRONOBERGS LÄN</t>
        </is>
      </c>
      <c r="E593" t="inlineStr">
        <is>
          <t>ALVESTA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33110-2025</t>
        </is>
      </c>
      <c r="B594" s="1" t="n">
        <v>45840</v>
      </c>
      <c r="C594" s="1" t="n">
        <v>46200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20926-2026</t>
        </is>
      </c>
      <c r="B595" s="1" t="n">
        <v>46142</v>
      </c>
      <c r="C595" s="1" t="n">
        <v>46200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27032-2026</t>
        </is>
      </c>
      <c r="B596" s="1" t="n">
        <v>46185</v>
      </c>
      <c r="C596" s="1" t="n">
        <v>46200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27070-2026</t>
        </is>
      </c>
      <c r="B597" s="1" t="n">
        <v>46185</v>
      </c>
      <c r="C597" s="1" t="n">
        <v>46200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27282-2026</t>
        </is>
      </c>
      <c r="B598" s="1" t="n">
        <v>46188</v>
      </c>
      <c r="C598" s="1" t="n">
        <v>46200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27077-2026</t>
        </is>
      </c>
      <c r="B599" s="1" t="n">
        <v>46186</v>
      </c>
      <c r="C599" s="1" t="n">
        <v>46200</v>
      </c>
      <c r="D599" t="inlineStr">
        <is>
          <t>KRONOBERGS LÄN</t>
        </is>
      </c>
      <c r="E599" t="inlineStr">
        <is>
          <t>ALVESTA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28193-2026</t>
        </is>
      </c>
      <c r="B600" s="1" t="n">
        <v>46195</v>
      </c>
      <c r="C600" s="1" t="n">
        <v>46200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11596-2026</t>
        </is>
      </c>
      <c r="B601" s="1" t="n">
        <v>46084</v>
      </c>
      <c r="C601" s="1" t="n">
        <v>46200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28237-2026</t>
        </is>
      </c>
      <c r="B602" s="1" t="n">
        <v>46196</v>
      </c>
      <c r="C602" s="1" t="n">
        <v>46200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28235-2026</t>
        </is>
      </c>
      <c r="B603" s="1" t="n">
        <v>46196</v>
      </c>
      <c r="C603" s="1" t="n">
        <v>46200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2026-06-27T00:54:42Z</dcterms:created>
  <dcterms:modified xmlns:dcterms="http://purl.org/dc/terms/" xmlns:xsi="http://www.w3.org/2001/XMLSchema-instance" xsi:type="dcterms:W3CDTF">2026-06-27T00:54:43Z</dcterms:modified>
</cp:coreProperties>
</file>